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mahidolac.sharepoint.com/sites/AcademicTeam603/Shared Documents/English Score/"/>
    </mc:Choice>
  </mc:AlternateContent>
  <xr:revisionPtr revIDLastSave="0" documentId="8_{11FADB04-D0AE-44A9-971E-D5A30FAC761D}" xr6:coauthVersionLast="47" xr6:coauthVersionMax="47" xr10:uidLastSave="{00000000-0000-0000-0000-000000000000}"/>
  <bookViews>
    <workbookView xWindow="0" yWindow="500" windowWidth="28800" windowHeight="16260" firstSheet="1" activeTab="1" xr2:uid="{00000000-000D-0000-FFFF-FFFF00000000}"/>
  </bookViews>
  <sheets>
    <sheet name="Student_Test" sheetId="5" state="hidden" r:id="rId1"/>
    <sheet name="Student_ICT" sheetId="1" r:id="rId2"/>
    <sheet name="Subtitute" sheetId="3" r:id="rId3"/>
    <sheet name="Summary" sheetId="2" r:id="rId4"/>
    <sheet name="Program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164" i="1" l="1"/>
  <c r="AC1163" i="1"/>
  <c r="AC1162" i="1"/>
  <c r="AC1161" i="1"/>
  <c r="AC1160" i="1"/>
  <c r="AC1159" i="1"/>
  <c r="AC1158" i="1"/>
  <c r="AC1157" i="1"/>
  <c r="AC1156" i="1"/>
  <c r="AC1155" i="1"/>
  <c r="AC1154" i="1"/>
  <c r="AC1153" i="1"/>
  <c r="AC1152" i="1"/>
  <c r="AC1151" i="1"/>
  <c r="AC1150" i="1"/>
  <c r="AC1149" i="1"/>
  <c r="AC1148" i="1"/>
  <c r="AC1147" i="1"/>
  <c r="AC1146" i="1"/>
  <c r="AC1145" i="1"/>
  <c r="AC1144" i="1"/>
  <c r="AC1143" i="1"/>
  <c r="AC1142" i="1"/>
  <c r="AC1141" i="1"/>
  <c r="AC1140" i="1"/>
  <c r="AC1139" i="1"/>
  <c r="AC1138" i="1"/>
  <c r="AC1137" i="1"/>
  <c r="AC1136" i="1"/>
  <c r="AC1135" i="1"/>
  <c r="AC1134" i="1"/>
  <c r="AC1133" i="1"/>
  <c r="AC1132" i="1"/>
  <c r="AC1131" i="1"/>
  <c r="AC1130" i="1"/>
  <c r="AC1129" i="1"/>
  <c r="AC1128" i="1"/>
  <c r="AC1127" i="1"/>
  <c r="AC1126" i="1"/>
  <c r="AC1125" i="1"/>
  <c r="AC1124" i="1"/>
  <c r="AC1123" i="1"/>
  <c r="AC1122" i="1"/>
  <c r="AC1121" i="1"/>
  <c r="AC1120" i="1"/>
  <c r="AC1119" i="1"/>
  <c r="AC1118" i="1"/>
  <c r="AC1117" i="1"/>
  <c r="AC1116" i="1"/>
  <c r="AC1115" i="1"/>
  <c r="AC1114" i="1"/>
  <c r="AC1113" i="1"/>
  <c r="AC1112" i="1"/>
  <c r="AC1111" i="1"/>
  <c r="AC1110" i="1"/>
  <c r="AC1109" i="1"/>
  <c r="AC1108" i="1"/>
  <c r="AC1107" i="1"/>
  <c r="AC1106" i="1"/>
  <c r="AC1105" i="1"/>
  <c r="AC1104" i="1"/>
  <c r="AC1103" i="1"/>
  <c r="AC1102" i="1"/>
  <c r="AC1101" i="1"/>
  <c r="AC1100" i="1"/>
  <c r="AC1099" i="1"/>
  <c r="AC1098" i="1"/>
  <c r="AC1097" i="1"/>
  <c r="AC1096" i="1"/>
  <c r="AC1095" i="1"/>
  <c r="AC1094" i="1"/>
  <c r="AC1093" i="1"/>
  <c r="AC1092" i="1"/>
  <c r="AC1091" i="1"/>
  <c r="AC1090" i="1"/>
  <c r="AC1089" i="1"/>
  <c r="AC1088" i="1"/>
  <c r="AC1087" i="1"/>
  <c r="AC1086" i="1"/>
  <c r="AC1085" i="1"/>
  <c r="AC1084" i="1"/>
  <c r="AC1083" i="1"/>
  <c r="AC1082" i="1"/>
  <c r="AC1081" i="1"/>
  <c r="AC1080" i="1"/>
  <c r="AC1079" i="1"/>
  <c r="AC1078" i="1"/>
  <c r="AC1077" i="1"/>
  <c r="AC1076" i="1"/>
  <c r="AC1075" i="1"/>
  <c r="AC1074" i="1"/>
  <c r="AC1073" i="1"/>
  <c r="AC1072" i="1"/>
  <c r="AC1071" i="1"/>
  <c r="AC1070" i="1"/>
  <c r="AC1069" i="1"/>
  <c r="AC1068" i="1"/>
  <c r="AC1067" i="1"/>
  <c r="AC1066" i="1"/>
  <c r="AC1065" i="1"/>
  <c r="AC1064" i="1"/>
  <c r="AC1063" i="1"/>
  <c r="AC1062" i="1"/>
  <c r="AC1061" i="1"/>
  <c r="AC1060" i="1"/>
  <c r="AC1059" i="1"/>
  <c r="AC1058" i="1"/>
  <c r="AC1057" i="1"/>
  <c r="AC1056" i="1"/>
  <c r="AC1055" i="1"/>
  <c r="AC1054" i="1"/>
  <c r="AC1053" i="1"/>
  <c r="AC1052" i="1"/>
  <c r="AC1051" i="1"/>
  <c r="AC1050" i="1"/>
  <c r="AC1049" i="1"/>
  <c r="AC1048" i="1"/>
  <c r="AC1047" i="1"/>
  <c r="AC1046" i="1"/>
  <c r="AC1045" i="1"/>
  <c r="AC1044" i="1"/>
  <c r="AC1043" i="1"/>
  <c r="AC1042" i="1"/>
  <c r="AC1041" i="1"/>
  <c r="AC1040" i="1"/>
  <c r="AC1039" i="1"/>
  <c r="AC1038" i="1"/>
  <c r="AC1037" i="1"/>
  <c r="AC1036" i="1"/>
  <c r="AC1035" i="1"/>
  <c r="AC1034" i="1"/>
  <c r="AC1033" i="1"/>
  <c r="AC1032" i="1"/>
  <c r="AC1031" i="1"/>
  <c r="AC1030" i="1"/>
  <c r="AC1029" i="1"/>
  <c r="AC1028" i="1"/>
  <c r="AC1027" i="1"/>
  <c r="AC1026" i="1"/>
  <c r="AC1025" i="1"/>
  <c r="AC1024" i="1"/>
  <c r="AC1023" i="1"/>
  <c r="AC1022" i="1"/>
  <c r="AC1021" i="1"/>
  <c r="AC1020" i="1"/>
  <c r="AC1019" i="1"/>
  <c r="AC1018" i="1"/>
  <c r="AC1017" i="1"/>
  <c r="AC1016" i="1"/>
  <c r="AC1015" i="1"/>
  <c r="AC1014" i="1"/>
  <c r="AC1013" i="1"/>
  <c r="AC1012" i="1"/>
  <c r="AC1011" i="1"/>
  <c r="AC1010" i="1"/>
  <c r="AC1009" i="1"/>
  <c r="AC1008" i="1"/>
  <c r="AC1007" i="1"/>
  <c r="AC1006" i="1"/>
  <c r="AC1005" i="1"/>
  <c r="AC1004" i="1"/>
  <c r="AC1003" i="1"/>
  <c r="AC1002" i="1"/>
  <c r="AC1001" i="1"/>
  <c r="AC1000" i="1"/>
  <c r="AC999" i="1"/>
  <c r="AC998" i="1"/>
  <c r="AC997" i="1"/>
  <c r="AC996" i="1"/>
  <c r="AC995" i="1"/>
  <c r="AC994" i="1"/>
  <c r="AC993" i="1"/>
  <c r="AC992" i="1"/>
  <c r="AC991" i="1"/>
  <c r="AC990" i="1"/>
  <c r="AC989" i="1"/>
  <c r="AC988" i="1"/>
  <c r="AC987" i="1"/>
  <c r="AC986" i="1"/>
  <c r="AC985" i="1"/>
  <c r="AC984" i="1"/>
  <c r="AC983" i="1"/>
  <c r="AC982" i="1"/>
  <c r="AC981" i="1"/>
  <c r="AC980" i="1"/>
  <c r="AC979" i="1"/>
  <c r="AC978" i="1"/>
  <c r="AC977" i="1"/>
  <c r="AC976" i="1"/>
  <c r="AC975" i="1"/>
  <c r="AC974" i="1"/>
  <c r="AC973" i="1"/>
  <c r="AC972" i="1"/>
  <c r="AC971" i="1"/>
  <c r="AC970" i="1"/>
  <c r="AC969" i="1"/>
  <c r="AC968" i="1"/>
  <c r="AC967" i="1"/>
  <c r="AC966" i="1"/>
  <c r="AC965" i="1"/>
  <c r="AC964" i="1"/>
  <c r="AC963" i="1"/>
  <c r="AC962" i="1"/>
  <c r="AC961" i="1"/>
  <c r="AC960" i="1"/>
  <c r="AC959" i="1"/>
  <c r="AC958" i="1"/>
  <c r="AC957" i="1"/>
  <c r="AC956" i="1"/>
  <c r="AC955" i="1"/>
  <c r="AC954" i="1"/>
  <c r="AC953" i="1"/>
  <c r="AC952" i="1"/>
  <c r="AC951" i="1"/>
  <c r="AC950" i="1"/>
  <c r="AC949" i="1"/>
  <c r="AC948" i="1"/>
  <c r="AC947" i="1"/>
  <c r="AC946" i="1"/>
  <c r="AC945" i="1"/>
  <c r="AC944" i="1"/>
  <c r="AC943" i="1"/>
  <c r="AC942" i="1"/>
  <c r="AC941" i="1"/>
  <c r="AC940" i="1"/>
  <c r="AC939" i="1"/>
  <c r="AC938" i="1"/>
  <c r="AC937" i="1"/>
  <c r="AC936" i="1"/>
  <c r="AC935" i="1"/>
  <c r="AC934" i="1"/>
  <c r="B1164" i="1"/>
  <c r="C1164" i="1"/>
  <c r="B1163" i="1"/>
  <c r="C1163" i="1"/>
  <c r="B1162" i="1"/>
  <c r="C1162" i="1"/>
  <c r="B1161" i="1"/>
  <c r="C1161" i="1"/>
  <c r="B1160" i="1"/>
  <c r="C1160" i="1"/>
  <c r="B1159" i="1"/>
  <c r="C1159" i="1"/>
  <c r="B1158" i="1"/>
  <c r="C1158" i="1"/>
  <c r="B1157" i="1"/>
  <c r="C1157" i="1"/>
  <c r="B1156" i="1"/>
  <c r="C1156" i="1"/>
  <c r="B1155" i="1"/>
  <c r="C1155" i="1"/>
  <c r="B1154" i="1"/>
  <c r="C1154" i="1"/>
  <c r="B1153" i="1"/>
  <c r="C1153" i="1"/>
  <c r="B1152" i="1"/>
  <c r="C1152" i="1"/>
  <c r="B1151" i="1"/>
  <c r="C1151" i="1"/>
  <c r="B1150" i="1"/>
  <c r="C1150" i="1"/>
  <c r="B1149" i="1"/>
  <c r="C1149" i="1"/>
  <c r="B1148" i="1"/>
  <c r="C1148" i="1"/>
  <c r="B1147" i="1"/>
  <c r="C1147" i="1"/>
  <c r="B1146" i="1"/>
  <c r="C1146" i="1"/>
  <c r="B1145" i="1"/>
  <c r="C1145" i="1"/>
  <c r="B1144" i="1"/>
  <c r="C1144" i="1"/>
  <c r="B1143" i="1"/>
  <c r="C1143" i="1"/>
  <c r="B1142" i="1"/>
  <c r="C1142" i="1"/>
  <c r="B1141" i="1"/>
  <c r="C1141" i="1"/>
  <c r="B1140" i="1"/>
  <c r="C1140" i="1"/>
  <c r="B1139" i="1"/>
  <c r="C1139" i="1"/>
  <c r="B1138" i="1"/>
  <c r="C1138" i="1"/>
  <c r="B1137" i="1"/>
  <c r="C1137" i="1"/>
  <c r="B1136" i="1"/>
  <c r="C1136" i="1"/>
  <c r="B1135" i="1"/>
  <c r="C1135" i="1"/>
  <c r="B1134" i="1"/>
  <c r="C1134" i="1"/>
  <c r="B1133" i="1"/>
  <c r="C1133" i="1"/>
  <c r="B1132" i="1"/>
  <c r="C1132" i="1"/>
  <c r="B1131" i="1"/>
  <c r="C1131" i="1"/>
  <c r="B1130" i="1"/>
  <c r="C1130" i="1"/>
  <c r="B1129" i="1"/>
  <c r="C1129" i="1"/>
  <c r="B1128" i="1"/>
  <c r="C1128" i="1"/>
  <c r="B1127" i="1"/>
  <c r="C1127" i="1"/>
  <c r="B1126" i="1"/>
  <c r="C1126" i="1"/>
  <c r="B1125" i="1"/>
  <c r="C1125" i="1"/>
  <c r="B1124" i="1"/>
  <c r="C1124" i="1"/>
  <c r="B1123" i="1"/>
  <c r="C1123" i="1"/>
  <c r="B1122" i="1"/>
  <c r="C1122" i="1"/>
  <c r="B1121" i="1"/>
  <c r="C1121" i="1"/>
  <c r="B1120" i="1"/>
  <c r="C1120" i="1"/>
  <c r="B1119" i="1"/>
  <c r="C1119" i="1"/>
  <c r="B1118" i="1"/>
  <c r="C1118" i="1"/>
  <c r="B1117" i="1"/>
  <c r="C1117" i="1"/>
  <c r="B1116" i="1"/>
  <c r="C1116" i="1"/>
  <c r="B1115" i="1"/>
  <c r="C1115" i="1"/>
  <c r="B1114" i="1"/>
  <c r="C1114" i="1"/>
  <c r="B1113" i="1"/>
  <c r="C1113" i="1"/>
  <c r="B1112" i="1"/>
  <c r="C1112" i="1"/>
  <c r="B1111" i="1"/>
  <c r="C1111" i="1"/>
  <c r="B1110" i="1"/>
  <c r="C1110" i="1"/>
  <c r="B1109" i="1"/>
  <c r="C1109" i="1"/>
  <c r="B1108" i="1"/>
  <c r="C1108" i="1"/>
  <c r="B1107" i="1"/>
  <c r="C1107" i="1"/>
  <c r="B1106" i="1"/>
  <c r="C1106" i="1"/>
  <c r="B1105" i="1"/>
  <c r="C1105" i="1"/>
  <c r="B1104" i="1"/>
  <c r="C1104" i="1"/>
  <c r="B1103" i="1"/>
  <c r="C1103" i="1"/>
  <c r="B1102" i="1"/>
  <c r="C1102" i="1"/>
  <c r="B1101" i="1"/>
  <c r="C1101" i="1"/>
  <c r="B1100" i="1"/>
  <c r="C1100" i="1"/>
  <c r="B1099" i="1"/>
  <c r="C1099" i="1"/>
  <c r="B1098" i="1"/>
  <c r="C1098" i="1"/>
  <c r="B1097" i="1"/>
  <c r="C1097" i="1"/>
  <c r="B1096" i="1"/>
  <c r="C1096" i="1"/>
  <c r="B1095" i="1"/>
  <c r="C1095" i="1"/>
  <c r="B1094" i="1"/>
  <c r="C1094" i="1"/>
  <c r="B1093" i="1"/>
  <c r="C1093" i="1"/>
  <c r="B1092" i="1"/>
  <c r="C1092" i="1"/>
  <c r="B1091" i="1"/>
  <c r="C1091" i="1"/>
  <c r="B1090" i="1"/>
  <c r="C1090" i="1"/>
  <c r="B1089" i="1"/>
  <c r="C1089" i="1"/>
  <c r="B1088" i="1"/>
  <c r="C1088" i="1"/>
  <c r="B1087" i="1"/>
  <c r="C1087" i="1"/>
  <c r="B1086" i="1"/>
  <c r="C1086" i="1"/>
  <c r="B1085" i="1"/>
  <c r="C1085" i="1"/>
  <c r="B1084" i="1"/>
  <c r="C1084" i="1"/>
  <c r="B1083" i="1"/>
  <c r="C1083" i="1"/>
  <c r="B1082" i="1"/>
  <c r="C1082" i="1"/>
  <c r="B1081" i="1"/>
  <c r="C1081" i="1"/>
  <c r="B1080" i="1"/>
  <c r="C1080" i="1"/>
  <c r="B1079" i="1"/>
  <c r="C1079" i="1"/>
  <c r="B1078" i="1"/>
  <c r="C1078" i="1"/>
  <c r="B1077" i="1"/>
  <c r="C1077" i="1"/>
  <c r="B1076" i="1"/>
  <c r="C1076" i="1"/>
  <c r="B1075" i="1"/>
  <c r="C1075" i="1"/>
  <c r="B1074" i="1"/>
  <c r="C1074" i="1"/>
  <c r="B1073" i="1"/>
  <c r="C1073" i="1"/>
  <c r="B1072" i="1"/>
  <c r="C1072" i="1"/>
  <c r="B1071" i="1"/>
  <c r="C1071" i="1"/>
  <c r="B1070" i="1"/>
  <c r="C1070" i="1"/>
  <c r="B1069" i="1"/>
  <c r="C1069" i="1"/>
  <c r="B1068" i="1"/>
  <c r="C1068" i="1"/>
  <c r="B1067" i="1"/>
  <c r="C1067" i="1"/>
  <c r="B1066" i="1"/>
  <c r="C1066" i="1"/>
  <c r="B1065" i="1"/>
  <c r="C1065" i="1"/>
  <c r="B1064" i="1"/>
  <c r="C1064" i="1"/>
  <c r="B1063" i="1"/>
  <c r="C1063" i="1"/>
  <c r="B1062" i="1"/>
  <c r="C1062" i="1"/>
  <c r="B1061" i="1"/>
  <c r="C1061" i="1"/>
  <c r="B1060" i="1"/>
  <c r="C1060" i="1"/>
  <c r="B1059" i="1"/>
  <c r="C1059" i="1"/>
  <c r="B1058" i="1"/>
  <c r="C1058" i="1"/>
  <c r="B1057" i="1"/>
  <c r="C1057" i="1"/>
  <c r="B1056" i="1"/>
  <c r="C1056" i="1"/>
  <c r="B1055" i="1"/>
  <c r="C1055" i="1"/>
  <c r="B1054" i="1"/>
  <c r="C1054" i="1"/>
  <c r="B1053" i="1"/>
  <c r="C1053" i="1"/>
  <c r="B1052" i="1"/>
  <c r="C1052" i="1"/>
  <c r="B1051" i="1"/>
  <c r="C1051" i="1"/>
  <c r="B1050" i="1"/>
  <c r="C1050" i="1"/>
  <c r="B1049" i="1"/>
  <c r="C1049" i="1"/>
  <c r="B1048" i="1"/>
  <c r="C1048" i="1"/>
  <c r="B1047" i="1"/>
  <c r="C1047" i="1"/>
  <c r="B1046" i="1"/>
  <c r="C1046" i="1"/>
  <c r="B1045" i="1"/>
  <c r="C1045" i="1"/>
  <c r="B1044" i="1"/>
  <c r="C1044" i="1"/>
  <c r="B1043" i="1"/>
  <c r="C1043" i="1"/>
  <c r="B1042" i="1"/>
  <c r="C1042" i="1"/>
  <c r="B1041" i="1"/>
  <c r="C1041" i="1"/>
  <c r="B1040" i="1"/>
  <c r="C1040" i="1"/>
  <c r="B1039" i="1"/>
  <c r="C1039" i="1"/>
  <c r="B1038" i="1"/>
  <c r="C1038" i="1"/>
  <c r="B1037" i="1"/>
  <c r="C1037" i="1"/>
  <c r="B1036" i="1"/>
  <c r="C1036" i="1"/>
  <c r="B1035" i="1"/>
  <c r="C1035" i="1"/>
  <c r="B1034" i="1"/>
  <c r="C1034" i="1"/>
  <c r="B1033" i="1"/>
  <c r="C1033" i="1"/>
  <c r="B1032" i="1"/>
  <c r="C1032" i="1"/>
  <c r="B1031" i="1"/>
  <c r="C1031" i="1"/>
  <c r="B1030" i="1"/>
  <c r="C1030" i="1"/>
  <c r="B1029" i="1"/>
  <c r="C1029" i="1"/>
  <c r="B1028" i="1"/>
  <c r="C1028" i="1"/>
  <c r="B1027" i="1"/>
  <c r="C1027" i="1"/>
  <c r="B1026" i="1"/>
  <c r="C1026" i="1"/>
  <c r="B1025" i="1"/>
  <c r="C1025" i="1"/>
  <c r="B1024" i="1"/>
  <c r="C1024" i="1"/>
  <c r="B1023" i="1"/>
  <c r="C1023" i="1"/>
  <c r="B1022" i="1"/>
  <c r="C1022" i="1"/>
  <c r="B1021" i="1"/>
  <c r="C1021" i="1"/>
  <c r="B1020" i="1"/>
  <c r="C1020" i="1"/>
  <c r="B1019" i="1"/>
  <c r="C1019" i="1"/>
  <c r="B1018" i="1"/>
  <c r="C1018" i="1"/>
  <c r="B1017" i="1"/>
  <c r="C1017" i="1"/>
  <c r="B1016" i="1"/>
  <c r="C1016" i="1"/>
  <c r="B1015" i="1"/>
  <c r="C1015" i="1"/>
  <c r="B1014" i="1"/>
  <c r="C1014" i="1"/>
  <c r="B1013" i="1"/>
  <c r="C1013" i="1"/>
  <c r="B1012" i="1"/>
  <c r="C1012" i="1"/>
  <c r="B1011" i="1"/>
  <c r="C1011" i="1"/>
  <c r="B1010" i="1"/>
  <c r="C1010" i="1"/>
  <c r="B1009" i="1"/>
  <c r="C1009" i="1"/>
  <c r="B1008" i="1"/>
  <c r="C1008" i="1"/>
  <c r="B1007" i="1"/>
  <c r="C1007" i="1"/>
  <c r="B1006" i="1"/>
  <c r="C1006" i="1"/>
  <c r="B1005" i="1"/>
  <c r="C1005" i="1"/>
  <c r="B1004" i="1"/>
  <c r="C1004" i="1"/>
  <c r="B1003" i="1"/>
  <c r="C1003" i="1"/>
  <c r="B1002" i="1"/>
  <c r="C1002" i="1"/>
  <c r="B1001" i="1"/>
  <c r="C1001" i="1"/>
  <c r="B1000" i="1"/>
  <c r="C1000" i="1"/>
  <c r="B999" i="1"/>
  <c r="C999" i="1"/>
  <c r="B998" i="1"/>
  <c r="C998" i="1"/>
  <c r="B997" i="1"/>
  <c r="C997" i="1"/>
  <c r="B996" i="1"/>
  <c r="C996" i="1"/>
  <c r="B995" i="1"/>
  <c r="C995" i="1"/>
  <c r="B994" i="1"/>
  <c r="C994" i="1"/>
  <c r="B993" i="1"/>
  <c r="C993" i="1"/>
  <c r="B992" i="1"/>
  <c r="C992" i="1"/>
  <c r="B991" i="1"/>
  <c r="C991" i="1"/>
  <c r="B990" i="1"/>
  <c r="C990" i="1"/>
  <c r="B989" i="1"/>
  <c r="C989" i="1"/>
  <c r="B988" i="1"/>
  <c r="C988" i="1"/>
  <c r="B987" i="1"/>
  <c r="C987" i="1"/>
  <c r="B986" i="1"/>
  <c r="C986" i="1"/>
  <c r="B985" i="1"/>
  <c r="C985" i="1"/>
  <c r="B984" i="1"/>
  <c r="C984" i="1"/>
  <c r="B983" i="1"/>
  <c r="C983" i="1"/>
  <c r="B982" i="1"/>
  <c r="C982" i="1"/>
  <c r="B981" i="1"/>
  <c r="C981" i="1"/>
  <c r="B980" i="1"/>
  <c r="C980" i="1"/>
  <c r="B979" i="1"/>
  <c r="C979" i="1"/>
  <c r="B978" i="1"/>
  <c r="C978" i="1"/>
  <c r="B977" i="1"/>
  <c r="C977" i="1"/>
  <c r="B976" i="1"/>
  <c r="C976" i="1"/>
  <c r="B975" i="1"/>
  <c r="C975" i="1"/>
  <c r="B974" i="1"/>
  <c r="C974" i="1"/>
  <c r="B973" i="1"/>
  <c r="C973" i="1"/>
  <c r="B972" i="1"/>
  <c r="C972" i="1"/>
  <c r="B971" i="1"/>
  <c r="C971" i="1"/>
  <c r="B970" i="1"/>
  <c r="C970" i="1"/>
  <c r="B969" i="1"/>
  <c r="C969" i="1"/>
  <c r="B968" i="1"/>
  <c r="C968" i="1"/>
  <c r="B967" i="1"/>
  <c r="C967" i="1"/>
  <c r="B966" i="1"/>
  <c r="C966" i="1"/>
  <c r="B965" i="1"/>
  <c r="C965" i="1"/>
  <c r="B964" i="1"/>
  <c r="C964" i="1"/>
  <c r="B963" i="1"/>
  <c r="C963" i="1"/>
  <c r="B962" i="1"/>
  <c r="C962" i="1"/>
  <c r="B961" i="1"/>
  <c r="C961" i="1"/>
  <c r="B960" i="1"/>
  <c r="C960" i="1"/>
  <c r="B959" i="1"/>
  <c r="C959" i="1"/>
  <c r="B958" i="1"/>
  <c r="C958" i="1"/>
  <c r="B957" i="1"/>
  <c r="C957" i="1"/>
  <c r="B956" i="1"/>
  <c r="C956" i="1"/>
  <c r="B955" i="1"/>
  <c r="C955" i="1"/>
  <c r="B954" i="1"/>
  <c r="C954" i="1"/>
  <c r="B953" i="1"/>
  <c r="C953" i="1"/>
  <c r="B952" i="1"/>
  <c r="C952" i="1"/>
  <c r="B951" i="1"/>
  <c r="C951" i="1"/>
  <c r="B950" i="1"/>
  <c r="C950" i="1"/>
  <c r="B949" i="1"/>
  <c r="C949" i="1"/>
  <c r="B948" i="1"/>
  <c r="C948" i="1"/>
  <c r="B947" i="1"/>
  <c r="C947" i="1"/>
  <c r="B946" i="1"/>
  <c r="C946" i="1"/>
  <c r="B945" i="1"/>
  <c r="C945" i="1"/>
  <c r="B944" i="1"/>
  <c r="C944" i="1"/>
  <c r="B943" i="1"/>
  <c r="C943" i="1"/>
  <c r="B942" i="1"/>
  <c r="C942" i="1"/>
  <c r="B941" i="1"/>
  <c r="C941" i="1"/>
  <c r="B940" i="1"/>
  <c r="C940" i="1"/>
  <c r="B939" i="1"/>
  <c r="C939" i="1"/>
  <c r="B938" i="1"/>
  <c r="C938" i="1"/>
  <c r="B937" i="1"/>
  <c r="C937" i="1"/>
  <c r="B936" i="1"/>
  <c r="C936" i="1"/>
  <c r="B935" i="1"/>
  <c r="C935" i="1"/>
  <c r="B934" i="1"/>
  <c r="C934" i="1"/>
  <c r="C933" i="1"/>
  <c r="AC933" i="1"/>
  <c r="B932" i="1"/>
  <c r="C932" i="1"/>
  <c r="AC932" i="1"/>
  <c r="B931" i="1"/>
  <c r="C931" i="1"/>
  <c r="AC931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B930" i="1"/>
  <c r="C930" i="1"/>
  <c r="B929" i="1"/>
  <c r="C929" i="1"/>
  <c r="B928" i="1"/>
  <c r="C928" i="1"/>
  <c r="B927" i="1"/>
  <c r="C927" i="1"/>
  <c r="B926" i="1"/>
  <c r="C926" i="1"/>
  <c r="B925" i="1"/>
  <c r="C925" i="1"/>
  <c r="B924" i="1"/>
  <c r="C924" i="1"/>
  <c r="B923" i="1"/>
  <c r="C923" i="1"/>
  <c r="B922" i="1"/>
  <c r="C922" i="1"/>
  <c r="B921" i="1"/>
  <c r="C921" i="1"/>
  <c r="B920" i="1"/>
  <c r="C920" i="1"/>
  <c r="B919" i="1"/>
  <c r="C919" i="1"/>
  <c r="B918" i="1"/>
  <c r="C918" i="1"/>
  <c r="B917" i="1"/>
  <c r="C917" i="1"/>
  <c r="B916" i="1"/>
  <c r="C916" i="1"/>
  <c r="B915" i="1"/>
  <c r="C915" i="1"/>
  <c r="B914" i="1"/>
  <c r="C914" i="1"/>
  <c r="B913" i="1"/>
  <c r="C913" i="1"/>
  <c r="B912" i="1"/>
  <c r="C912" i="1"/>
  <c r="B911" i="1"/>
  <c r="C911" i="1"/>
  <c r="B910" i="1"/>
  <c r="C910" i="1"/>
  <c r="B909" i="1"/>
  <c r="C909" i="1"/>
  <c r="B908" i="1"/>
  <c r="C908" i="1"/>
  <c r="B907" i="1"/>
  <c r="C907" i="1"/>
  <c r="B906" i="1"/>
  <c r="C906" i="1"/>
  <c r="B905" i="1"/>
  <c r="C905" i="1"/>
  <c r="B904" i="1"/>
  <c r="C904" i="1"/>
  <c r="B903" i="1"/>
  <c r="C903" i="1"/>
  <c r="B902" i="1"/>
  <c r="C902" i="1"/>
  <c r="B901" i="1"/>
  <c r="C901" i="1"/>
  <c r="B900" i="1"/>
  <c r="C900" i="1"/>
  <c r="B899" i="1"/>
  <c r="C899" i="1"/>
  <c r="B898" i="1"/>
  <c r="C898" i="1"/>
  <c r="B897" i="1"/>
  <c r="C897" i="1"/>
  <c r="B896" i="1"/>
  <c r="C896" i="1"/>
  <c r="B895" i="1"/>
  <c r="C895" i="1"/>
  <c r="B894" i="1"/>
  <c r="C894" i="1"/>
  <c r="B893" i="1"/>
  <c r="C893" i="1"/>
  <c r="B892" i="1"/>
  <c r="C892" i="1"/>
  <c r="B891" i="1"/>
  <c r="C891" i="1"/>
  <c r="B890" i="1"/>
  <c r="C890" i="1"/>
  <c r="B889" i="1"/>
  <c r="C889" i="1"/>
  <c r="B888" i="1"/>
  <c r="C888" i="1"/>
  <c r="B887" i="1"/>
  <c r="C887" i="1"/>
  <c r="B886" i="1"/>
  <c r="C886" i="1"/>
  <c r="B885" i="1"/>
  <c r="C885" i="1"/>
  <c r="B884" i="1"/>
  <c r="C884" i="1"/>
  <c r="B883" i="1"/>
  <c r="C883" i="1"/>
  <c r="B882" i="1"/>
  <c r="C882" i="1"/>
  <c r="B881" i="1"/>
  <c r="C881" i="1"/>
  <c r="B880" i="1"/>
  <c r="C880" i="1"/>
  <c r="B879" i="1"/>
  <c r="C879" i="1"/>
  <c r="B878" i="1"/>
  <c r="C878" i="1"/>
  <c r="B877" i="1"/>
  <c r="C877" i="1"/>
  <c r="B876" i="1"/>
  <c r="C876" i="1"/>
  <c r="B875" i="1"/>
  <c r="C875" i="1"/>
  <c r="B874" i="1"/>
  <c r="C874" i="1"/>
  <c r="B873" i="1"/>
  <c r="C873" i="1"/>
  <c r="B872" i="1"/>
  <c r="C872" i="1"/>
  <c r="B871" i="1"/>
  <c r="C871" i="1"/>
  <c r="B870" i="1"/>
  <c r="C870" i="1"/>
  <c r="B869" i="1"/>
  <c r="C869" i="1"/>
  <c r="B868" i="1"/>
  <c r="C868" i="1"/>
  <c r="B867" i="1"/>
  <c r="C867" i="1"/>
  <c r="B866" i="1"/>
  <c r="C866" i="1"/>
  <c r="B865" i="1"/>
  <c r="C865" i="1"/>
  <c r="B864" i="1"/>
  <c r="C864" i="1"/>
  <c r="B863" i="1"/>
  <c r="C863" i="1"/>
  <c r="B862" i="1"/>
  <c r="C862" i="1"/>
  <c r="B861" i="1"/>
  <c r="C861" i="1"/>
  <c r="B860" i="1"/>
  <c r="C860" i="1"/>
  <c r="B859" i="1"/>
  <c r="C859" i="1"/>
  <c r="B858" i="1"/>
  <c r="C858" i="1"/>
  <c r="B857" i="1"/>
  <c r="C857" i="1"/>
  <c r="B856" i="1"/>
  <c r="C856" i="1"/>
  <c r="B855" i="1"/>
  <c r="C855" i="1"/>
  <c r="B854" i="1"/>
  <c r="C854" i="1"/>
  <c r="B853" i="1"/>
  <c r="C853" i="1"/>
  <c r="B852" i="1"/>
  <c r="C852" i="1"/>
  <c r="B851" i="1"/>
  <c r="C851" i="1"/>
  <c r="B850" i="1"/>
  <c r="C850" i="1"/>
  <c r="B849" i="1"/>
  <c r="C849" i="1"/>
  <c r="B848" i="1"/>
  <c r="C848" i="1"/>
  <c r="B743" i="1"/>
  <c r="C743" i="1"/>
  <c r="B744" i="1"/>
  <c r="C744" i="1"/>
  <c r="B745" i="1"/>
  <c r="C745" i="1"/>
  <c r="B746" i="1"/>
  <c r="C746" i="1"/>
  <c r="B747" i="1"/>
  <c r="C747" i="1"/>
  <c r="B748" i="1"/>
  <c r="C748" i="1"/>
  <c r="B749" i="1"/>
  <c r="C749" i="1"/>
  <c r="B750" i="1"/>
  <c r="C750" i="1"/>
  <c r="B751" i="1"/>
  <c r="C751" i="1"/>
  <c r="B752" i="1"/>
  <c r="C752" i="1"/>
  <c r="B753" i="1"/>
  <c r="C753" i="1"/>
  <c r="B754" i="1"/>
  <c r="C754" i="1"/>
  <c r="B755" i="1"/>
  <c r="C755" i="1"/>
  <c r="B756" i="1"/>
  <c r="C756" i="1"/>
  <c r="B757" i="1"/>
  <c r="C757" i="1"/>
  <c r="B758" i="1"/>
  <c r="C758" i="1"/>
  <c r="B759" i="1"/>
  <c r="C759" i="1"/>
  <c r="B760" i="1"/>
  <c r="C760" i="1"/>
  <c r="B761" i="1"/>
  <c r="C761" i="1"/>
  <c r="B762" i="1"/>
  <c r="C762" i="1"/>
  <c r="B763" i="1"/>
  <c r="C763" i="1"/>
  <c r="B764" i="1"/>
  <c r="C764" i="1"/>
  <c r="B765" i="1"/>
  <c r="C765" i="1"/>
  <c r="B766" i="1"/>
  <c r="C766" i="1"/>
  <c r="B767" i="1"/>
  <c r="C767" i="1"/>
  <c r="B768" i="1"/>
  <c r="C768" i="1"/>
  <c r="B769" i="1"/>
  <c r="C769" i="1"/>
  <c r="B770" i="1"/>
  <c r="C770" i="1"/>
  <c r="B771" i="1"/>
  <c r="C771" i="1"/>
  <c r="B772" i="1"/>
  <c r="C772" i="1"/>
  <c r="B773" i="1"/>
  <c r="C773" i="1"/>
  <c r="B774" i="1"/>
  <c r="C774" i="1"/>
  <c r="B775" i="1"/>
  <c r="C775" i="1"/>
  <c r="B776" i="1"/>
  <c r="C776" i="1"/>
  <c r="B777" i="1"/>
  <c r="C777" i="1"/>
  <c r="B778" i="1"/>
  <c r="C778" i="1"/>
  <c r="B779" i="1"/>
  <c r="C779" i="1"/>
  <c r="B780" i="1"/>
  <c r="C780" i="1"/>
  <c r="B781" i="1"/>
  <c r="C781" i="1"/>
  <c r="B782" i="1"/>
  <c r="C782" i="1"/>
  <c r="B783" i="1"/>
  <c r="C783" i="1"/>
  <c r="B784" i="1"/>
  <c r="C784" i="1"/>
  <c r="B785" i="1"/>
  <c r="C785" i="1"/>
  <c r="B786" i="1"/>
  <c r="C786" i="1"/>
  <c r="B787" i="1"/>
  <c r="C787" i="1"/>
  <c r="B788" i="1"/>
  <c r="C788" i="1"/>
  <c r="B789" i="1"/>
  <c r="C789" i="1"/>
  <c r="B790" i="1"/>
  <c r="C790" i="1"/>
  <c r="B791" i="1"/>
  <c r="C791" i="1"/>
  <c r="B792" i="1"/>
  <c r="C792" i="1"/>
  <c r="B793" i="1"/>
  <c r="C793" i="1"/>
  <c r="B794" i="1"/>
  <c r="C794" i="1"/>
  <c r="B795" i="1"/>
  <c r="C795" i="1"/>
  <c r="B796" i="1"/>
  <c r="C796" i="1"/>
  <c r="B797" i="1"/>
  <c r="C797" i="1"/>
  <c r="B798" i="1"/>
  <c r="C798" i="1"/>
  <c r="B799" i="1"/>
  <c r="C799" i="1"/>
  <c r="B800" i="1"/>
  <c r="C800" i="1"/>
  <c r="B801" i="1"/>
  <c r="C801" i="1"/>
  <c r="B802" i="1"/>
  <c r="C802" i="1"/>
  <c r="B803" i="1"/>
  <c r="C803" i="1"/>
  <c r="B804" i="1"/>
  <c r="C804" i="1"/>
  <c r="B805" i="1"/>
  <c r="C805" i="1"/>
  <c r="B806" i="1"/>
  <c r="C806" i="1"/>
  <c r="B807" i="1"/>
  <c r="C807" i="1"/>
  <c r="B808" i="1"/>
  <c r="C808" i="1"/>
  <c r="B809" i="1"/>
  <c r="C809" i="1"/>
  <c r="B810" i="1"/>
  <c r="C810" i="1"/>
  <c r="B811" i="1"/>
  <c r="C811" i="1"/>
  <c r="B812" i="1"/>
  <c r="C812" i="1"/>
  <c r="B813" i="1"/>
  <c r="C813" i="1"/>
  <c r="B814" i="1"/>
  <c r="C814" i="1"/>
  <c r="B815" i="1"/>
  <c r="C815" i="1"/>
  <c r="B816" i="1"/>
  <c r="C816" i="1"/>
  <c r="B817" i="1"/>
  <c r="C817" i="1"/>
  <c r="B818" i="1"/>
  <c r="C818" i="1"/>
  <c r="B819" i="1"/>
  <c r="C819" i="1"/>
  <c r="B820" i="1"/>
  <c r="C820" i="1"/>
  <c r="B821" i="1"/>
  <c r="C821" i="1"/>
  <c r="B822" i="1"/>
  <c r="C822" i="1"/>
  <c r="B823" i="1"/>
  <c r="C823" i="1"/>
  <c r="B824" i="1"/>
  <c r="C824" i="1"/>
  <c r="B825" i="1"/>
  <c r="C825" i="1"/>
  <c r="B826" i="1"/>
  <c r="C826" i="1"/>
  <c r="B827" i="1"/>
  <c r="C827" i="1"/>
  <c r="B828" i="1"/>
  <c r="C828" i="1"/>
  <c r="B829" i="1"/>
  <c r="C829" i="1"/>
  <c r="B830" i="1"/>
  <c r="C830" i="1"/>
  <c r="B831" i="1"/>
  <c r="C831" i="1"/>
  <c r="B832" i="1"/>
  <c r="C832" i="1"/>
  <c r="B833" i="1"/>
  <c r="C833" i="1"/>
  <c r="B834" i="1"/>
  <c r="C834" i="1"/>
  <c r="B835" i="1"/>
  <c r="C835" i="1"/>
  <c r="B836" i="1"/>
  <c r="C836" i="1"/>
  <c r="B837" i="1"/>
  <c r="C837" i="1"/>
  <c r="B838" i="1"/>
  <c r="C838" i="1"/>
  <c r="B839" i="1"/>
  <c r="C839" i="1"/>
  <c r="B840" i="1"/>
  <c r="C840" i="1"/>
  <c r="B841" i="1"/>
  <c r="C841" i="1"/>
  <c r="B842" i="1"/>
  <c r="C842" i="1"/>
  <c r="B843" i="1"/>
  <c r="C843" i="1"/>
  <c r="B844" i="1"/>
  <c r="C844" i="1"/>
  <c r="B845" i="1"/>
  <c r="C845" i="1"/>
  <c r="B846" i="1"/>
  <c r="C846" i="1"/>
  <c r="B847" i="1"/>
  <c r="C847" i="1"/>
  <c r="C742" i="1"/>
  <c r="B741" i="1"/>
  <c r="C741" i="1"/>
  <c r="B740" i="1"/>
  <c r="C740" i="1"/>
  <c r="B739" i="1"/>
  <c r="C739" i="1"/>
  <c r="B738" i="1"/>
  <c r="C738" i="1"/>
  <c r="B737" i="1"/>
  <c r="C737" i="1"/>
  <c r="B736" i="1"/>
  <c r="C736" i="1"/>
  <c r="B735" i="1"/>
  <c r="C735" i="1"/>
  <c r="B734" i="1"/>
  <c r="C734" i="1"/>
  <c r="B733" i="1"/>
  <c r="C733" i="1"/>
  <c r="B732" i="1"/>
  <c r="C732" i="1"/>
  <c r="B731" i="1"/>
  <c r="C731" i="1"/>
  <c r="B730" i="1"/>
  <c r="C730" i="1"/>
  <c r="B729" i="1"/>
  <c r="C729" i="1"/>
  <c r="B728" i="1"/>
  <c r="C728" i="1"/>
  <c r="B727" i="1"/>
  <c r="C727" i="1"/>
  <c r="B726" i="1"/>
  <c r="C726" i="1"/>
  <c r="B725" i="1"/>
  <c r="C725" i="1"/>
  <c r="B724" i="1"/>
  <c r="C724" i="1"/>
  <c r="B723" i="1"/>
  <c r="C723" i="1"/>
  <c r="B722" i="1"/>
  <c r="C722" i="1"/>
  <c r="B721" i="1"/>
  <c r="C721" i="1"/>
  <c r="B720" i="1"/>
  <c r="C720" i="1"/>
  <c r="B719" i="1"/>
  <c r="C719" i="1"/>
  <c r="B718" i="1"/>
  <c r="C718" i="1"/>
  <c r="B717" i="1"/>
  <c r="C717" i="1"/>
  <c r="B716" i="1"/>
  <c r="C716" i="1"/>
  <c r="B715" i="1"/>
  <c r="C715" i="1"/>
  <c r="B714" i="1"/>
  <c r="C714" i="1"/>
  <c r="B713" i="1"/>
  <c r="C713" i="1"/>
  <c r="B712" i="1"/>
  <c r="C712" i="1"/>
  <c r="B711" i="1"/>
  <c r="C711" i="1"/>
  <c r="B710" i="1"/>
  <c r="C710" i="1"/>
  <c r="B709" i="1"/>
  <c r="C709" i="1"/>
  <c r="B708" i="1"/>
  <c r="C708" i="1"/>
  <c r="B707" i="1"/>
  <c r="C707" i="1"/>
  <c r="B706" i="1"/>
  <c r="C706" i="1"/>
  <c r="B705" i="1"/>
  <c r="C705" i="1"/>
  <c r="B704" i="1"/>
  <c r="C704" i="1"/>
  <c r="B703" i="1"/>
  <c r="C703" i="1"/>
  <c r="B702" i="1"/>
  <c r="C702" i="1"/>
  <c r="B701" i="1"/>
  <c r="C701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B584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B592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B600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B638" i="1"/>
  <c r="C638" i="1"/>
  <c r="B639" i="1"/>
  <c r="C639" i="1"/>
  <c r="B640" i="1"/>
  <c r="C640" i="1"/>
  <c r="B641" i="1"/>
  <c r="C641" i="1"/>
  <c r="B642" i="1"/>
  <c r="C642" i="1"/>
  <c r="B643" i="1"/>
  <c r="C643" i="1"/>
  <c r="B644" i="1"/>
  <c r="C644" i="1"/>
  <c r="B645" i="1"/>
  <c r="C645" i="1"/>
  <c r="B646" i="1"/>
  <c r="C646" i="1"/>
  <c r="B647" i="1"/>
  <c r="C647" i="1"/>
  <c r="B648" i="1"/>
  <c r="C648" i="1"/>
  <c r="B649" i="1"/>
  <c r="C649" i="1"/>
  <c r="B650" i="1"/>
  <c r="C650" i="1"/>
  <c r="B651" i="1"/>
  <c r="C651" i="1"/>
  <c r="B652" i="1"/>
  <c r="C652" i="1"/>
  <c r="B653" i="1"/>
  <c r="C653" i="1"/>
  <c r="B654" i="1"/>
  <c r="C654" i="1"/>
  <c r="B655" i="1"/>
  <c r="C655" i="1"/>
  <c r="B656" i="1"/>
  <c r="C656" i="1"/>
  <c r="B657" i="1"/>
  <c r="C657" i="1"/>
  <c r="B658" i="1"/>
  <c r="C658" i="1"/>
  <c r="B659" i="1"/>
  <c r="C659" i="1"/>
  <c r="B660" i="1"/>
  <c r="C660" i="1"/>
  <c r="B661" i="1"/>
  <c r="C661" i="1"/>
  <c r="B662" i="1"/>
  <c r="C662" i="1"/>
  <c r="B663" i="1"/>
  <c r="C663" i="1"/>
  <c r="B664" i="1"/>
  <c r="C664" i="1"/>
  <c r="B665" i="1"/>
  <c r="C665" i="1"/>
  <c r="B666" i="1"/>
  <c r="C666" i="1"/>
  <c r="B667" i="1"/>
  <c r="C667" i="1"/>
  <c r="B668" i="1"/>
  <c r="C668" i="1"/>
  <c r="B669" i="1"/>
  <c r="C669" i="1"/>
  <c r="B670" i="1"/>
  <c r="C670" i="1"/>
  <c r="B671" i="1"/>
  <c r="C671" i="1"/>
  <c r="B672" i="1"/>
  <c r="C672" i="1"/>
  <c r="B673" i="1"/>
  <c r="C673" i="1"/>
  <c r="B674" i="1"/>
  <c r="C674" i="1"/>
  <c r="B675" i="1"/>
  <c r="C675" i="1"/>
  <c r="B676" i="1"/>
  <c r="C676" i="1"/>
  <c r="B677" i="1"/>
  <c r="C677" i="1"/>
  <c r="B678" i="1"/>
  <c r="C678" i="1"/>
  <c r="B679" i="1"/>
  <c r="C679" i="1"/>
  <c r="B680" i="1"/>
  <c r="C680" i="1"/>
  <c r="B681" i="1"/>
  <c r="C681" i="1"/>
  <c r="B682" i="1"/>
  <c r="C682" i="1"/>
  <c r="B683" i="1"/>
  <c r="C683" i="1"/>
  <c r="B684" i="1"/>
  <c r="C684" i="1"/>
  <c r="B685" i="1"/>
  <c r="C685" i="1"/>
  <c r="B686" i="1"/>
  <c r="C686" i="1"/>
  <c r="B687" i="1"/>
  <c r="C687" i="1"/>
  <c r="B688" i="1"/>
  <c r="C688" i="1"/>
  <c r="B689" i="1"/>
  <c r="C689" i="1"/>
  <c r="B690" i="1"/>
  <c r="C690" i="1"/>
  <c r="B691" i="1"/>
  <c r="C691" i="1"/>
  <c r="B692" i="1"/>
  <c r="C692" i="1"/>
  <c r="B693" i="1"/>
  <c r="C693" i="1"/>
  <c r="B694" i="1"/>
  <c r="C694" i="1"/>
  <c r="B695" i="1"/>
  <c r="C695" i="1"/>
  <c r="B696" i="1"/>
  <c r="C696" i="1"/>
  <c r="B697" i="1"/>
  <c r="C697" i="1"/>
  <c r="B698" i="1"/>
  <c r="C698" i="1"/>
  <c r="B699" i="1"/>
  <c r="C699" i="1"/>
  <c r="B700" i="1"/>
  <c r="C700" i="1"/>
  <c r="B432" i="1"/>
  <c r="C432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B289" i="1"/>
  <c r="C289" i="1"/>
  <c r="B290" i="1"/>
  <c r="C290" i="1"/>
  <c r="B291" i="1"/>
  <c r="B292" i="1"/>
  <c r="B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C288" i="1"/>
  <c r="C291" i="1"/>
  <c r="C292" i="1"/>
  <c r="C293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H24" i="2"/>
  <c r="H25" i="2"/>
  <c r="X13" i="5"/>
  <c r="X8" i="5"/>
  <c r="B26" i="5"/>
  <c r="C26" i="5"/>
  <c r="B25" i="5"/>
  <c r="C25" i="5"/>
  <c r="X25" i="5"/>
  <c r="X24" i="5"/>
  <c r="B24" i="5"/>
  <c r="C24" i="5"/>
  <c r="B23" i="5"/>
  <c r="C23" i="5"/>
  <c r="X23" i="5"/>
  <c r="B22" i="5"/>
  <c r="C22" i="5"/>
  <c r="X22" i="5"/>
  <c r="B21" i="5"/>
  <c r="C21" i="5"/>
  <c r="X21" i="5"/>
  <c r="B14" i="5"/>
  <c r="C14" i="5"/>
  <c r="X14" i="5"/>
  <c r="B20" i="5"/>
  <c r="C20" i="5"/>
  <c r="X20" i="5"/>
  <c r="B19" i="5"/>
  <c r="C19" i="5"/>
  <c r="X19" i="5"/>
  <c r="B18" i="5"/>
  <c r="C18" i="5"/>
  <c r="B17" i="5"/>
  <c r="C17" i="5"/>
  <c r="B16" i="5"/>
  <c r="C16" i="5"/>
  <c r="B13" i="5"/>
  <c r="C13" i="5"/>
  <c r="X15" i="5"/>
  <c r="B15" i="5"/>
  <c r="C15" i="5"/>
  <c r="B12" i="5"/>
  <c r="X12" i="5"/>
  <c r="X11" i="5"/>
  <c r="B11" i="5"/>
  <c r="C11" i="5"/>
  <c r="X9" i="5"/>
  <c r="X10" i="5"/>
  <c r="B10" i="5"/>
  <c r="C10" i="5"/>
  <c r="B9" i="5"/>
  <c r="C9" i="5"/>
  <c r="B8" i="5"/>
  <c r="C8" i="5"/>
  <c r="B7" i="5"/>
  <c r="C7" i="5"/>
  <c r="B7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00" i="1"/>
  <c r="C400" i="1"/>
  <c r="B401" i="1"/>
  <c r="C401" i="1"/>
  <c r="B402" i="1"/>
  <c r="C402" i="1"/>
  <c r="B403" i="1"/>
  <c r="C403" i="1"/>
  <c r="B396" i="1"/>
  <c r="C396" i="1"/>
  <c r="B397" i="1"/>
  <c r="C397" i="1"/>
  <c r="B398" i="1"/>
  <c r="C398" i="1"/>
  <c r="B399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12" i="1"/>
  <c r="C412" i="1"/>
  <c r="C12" i="5"/>
  <c r="H10" i="2"/>
  <c r="H71" i="2"/>
  <c r="H31" i="2"/>
  <c r="H43" i="2"/>
  <c r="H70" i="2"/>
  <c r="H84" i="2"/>
  <c r="H60" i="2"/>
  <c r="C19" i="2"/>
  <c r="H14" i="2"/>
  <c r="C26" i="2"/>
  <c r="C20" i="2"/>
  <c r="H38" i="2"/>
  <c r="H64" i="2"/>
  <c r="C31" i="2"/>
  <c r="H15" i="2"/>
  <c r="C8" i="2"/>
  <c r="H61" i="2"/>
  <c r="H36" i="2"/>
  <c r="H53" i="2"/>
  <c r="H7" i="2"/>
  <c r="H39" i="2"/>
  <c r="C23" i="2"/>
  <c r="H46" i="2"/>
  <c r="C9" i="2"/>
  <c r="H47" i="2"/>
  <c r="C32" i="2"/>
  <c r="H17" i="2"/>
  <c r="H16" i="2"/>
  <c r="H12" i="2"/>
  <c r="H22" i="2"/>
  <c r="H26" i="2"/>
  <c r="H57" i="2"/>
  <c r="C29" i="2"/>
  <c r="H23" i="2"/>
  <c r="C15" i="2"/>
  <c r="H29" i="2"/>
  <c r="C17" i="2"/>
  <c r="C3" i="2"/>
  <c r="C24" i="2"/>
  <c r="H6" i="2"/>
  <c r="C11" i="2"/>
  <c r="H69" i="2"/>
  <c r="C14" i="2"/>
  <c r="H3" i="2"/>
  <c r="H52" i="2"/>
  <c r="H45" i="2"/>
  <c r="H68" i="2"/>
  <c r="C18" i="2"/>
  <c r="H74" i="2"/>
  <c r="C5" i="2"/>
  <c r="H55" i="2"/>
  <c r="H19" i="2"/>
  <c r="H21" i="2"/>
  <c r="H54" i="2"/>
  <c r="C4" i="2"/>
  <c r="C49" i="1"/>
  <c r="H44" i="2"/>
  <c r="H40" i="2"/>
  <c r="H20" i="2"/>
  <c r="H32" i="2"/>
  <c r="H63" i="2"/>
  <c r="H72" i="2"/>
  <c r="H41" i="2"/>
  <c r="H9" i="2"/>
  <c r="C7" i="2"/>
  <c r="C27" i="2"/>
  <c r="C12" i="2"/>
  <c r="H59" i="2"/>
  <c r="C21" i="2"/>
  <c r="H33" i="2"/>
  <c r="C6" i="2"/>
  <c r="H13" i="2"/>
  <c r="H42" i="2"/>
  <c r="H65" i="2"/>
  <c r="H27" i="2"/>
  <c r="H28" i="2"/>
  <c r="H37" i="2"/>
  <c r="C84" i="1"/>
  <c r="H35" i="2"/>
  <c r="C13" i="2"/>
  <c r="H30" i="2"/>
  <c r="H62" i="2"/>
  <c r="H78" i="2"/>
  <c r="C14" i="1"/>
  <c r="H5" i="2"/>
  <c r="H58" i="2"/>
  <c r="C22" i="2"/>
  <c r="H18" i="2"/>
  <c r="H73" i="2"/>
  <c r="H51" i="2"/>
  <c r="C10" i="2"/>
  <c r="H11" i="2"/>
  <c r="H66" i="2"/>
  <c r="H8" i="2"/>
  <c r="C30" i="2"/>
  <c r="H50" i="2"/>
  <c r="H67" i="2"/>
  <c r="H56" i="2"/>
  <c r="C25" i="2"/>
  <c r="H75" i="2"/>
  <c r="H49" i="2"/>
  <c r="C16" i="2"/>
  <c r="H34" i="2"/>
  <c r="H79" i="2"/>
  <c r="H80" i="2"/>
  <c r="C399" i="1"/>
  <c r="C7" i="1"/>
  <c r="H4" i="2"/>
  <c r="H83" i="2"/>
  <c r="H76" i="2"/>
  <c r="H82" i="2"/>
  <c r="C28" i="2"/>
  <c r="H48" i="2"/>
  <c r="H77" i="2"/>
  <c r="H81" i="2"/>
</calcChain>
</file>

<file path=xl/sharedStrings.xml><?xml version="1.0" encoding="utf-8"?>
<sst xmlns="http://schemas.openxmlformats.org/spreadsheetml/2006/main" count="7055" uniqueCount="4232">
  <si>
    <t>Faculty of  Information and Communication Technology</t>
  </si>
  <si>
    <t>Mahidol University</t>
  </si>
  <si>
    <t>English Proficiency Test Score for Graduation</t>
  </si>
  <si>
    <t>COVERAGE INFORMATION</t>
  </si>
  <si>
    <t>Auto???</t>
  </si>
  <si>
    <t>Tum กรอก เมื่อจะนำเสนอเซ็น</t>
  </si>
  <si>
    <t>Tum กรอกเมื่อได้ลายเซ็นแล้ว วันที่ตรงนี้จะนำไปใช้ส่งต่อให้มหาวิทยาลัย</t>
  </si>
  <si>
    <t>Mail Merge ส่งเมล์เมื่อ Dean</t>
  </si>
  <si>
    <t>No.</t>
  </si>
  <si>
    <t>AcademicYear</t>
  </si>
  <si>
    <t>Graduate Year</t>
  </si>
  <si>
    <t>Program</t>
  </si>
  <si>
    <t>ID</t>
  </si>
  <si>
    <t>Title</t>
  </si>
  <si>
    <t>Firstname</t>
  </si>
  <si>
    <t>Lastname</t>
  </si>
  <si>
    <t>Type of Subtitute</t>
  </si>
  <si>
    <t>Score</t>
  </si>
  <si>
    <t>Listening</t>
  </si>
  <si>
    <t>Reading</t>
  </si>
  <si>
    <t>Writing</t>
  </si>
  <si>
    <t>Speaking</t>
  </si>
  <si>
    <t>Literacy</t>
  </si>
  <si>
    <t>Conversation</t>
  </si>
  <si>
    <t>Comprehension</t>
  </si>
  <si>
    <t>Production</t>
  </si>
  <si>
    <t>Test Date</t>
  </si>
  <si>
    <t>Annouced date</t>
  </si>
  <si>
    <t>Type for TOEFL</t>
  </si>
  <si>
    <t>Client</t>
  </si>
  <si>
    <t>Tel no.</t>
  </si>
  <si>
    <t>Student Email</t>
  </si>
  <si>
    <t>Approve Date</t>
  </si>
  <si>
    <t>Certificate</t>
  </si>
  <si>
    <t>รอบเสนอ Dean</t>
  </si>
  <si>
    <t>Dean Approve Date</t>
  </si>
  <si>
    <t>Notify to Student</t>
  </si>
  <si>
    <t>ICT</t>
  </si>
  <si>
    <t>MR.</t>
  </si>
  <si>
    <t>Thanakorn</t>
  </si>
  <si>
    <t>Kannika</t>
  </si>
  <si>
    <t>Pass TOEFL</t>
  </si>
  <si>
    <t>CBT</t>
  </si>
  <si>
    <t>tanakorn.kan@mahidol.ac.th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</si>
  <si>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205729619_4214716881883610_207278601184615471_Thanakorn%20Kannika.jpg</t>
  </si>
  <si>
    <t xml:space="preserve">MISS </t>
  </si>
  <si>
    <t>Siriporn</t>
  </si>
  <si>
    <t>Rojanakosol</t>
  </si>
  <si>
    <t>Pass TOEIC</t>
  </si>
  <si>
    <t>Asok</t>
  </si>
  <si>
    <t>https://studentmahidolac.sharepoint.com/sites/AcademicTeam603/Shared%20Documents/%E0%B9%81%E0%B8%AD%E0%B8%9B/Microsoft%20Forms/English%20Proficiency%20Test%20for%20Graduation%20-%20English/Please%20attached%20the%20original%20score%20certificate/EnglishText_Siriporn%20Rojanakosol.JPG</t>
  </si>
  <si>
    <t>Pipatpong</t>
  </si>
  <si>
    <t>Niyommungmee</t>
  </si>
  <si>
    <t>Pass MUELT</t>
  </si>
  <si>
    <t>Karn</t>
  </si>
  <si>
    <t>Liamruk</t>
  </si>
  <si>
    <t>Siripen</t>
  </si>
  <si>
    <t>Pongpaichet</t>
  </si>
  <si>
    <t>https://studentmahidolac.sharepoint.com/sites/AcademicTeam603/Shared%20Documents/%E0%B9%81%E0%B8%AD%E0%B8%9B/Microsoft%20Forms/English%20Proficiency%20Test%20for%20Graduation%20-%20English/Please%20attached%20the%20original%20score%20certificate/MUICT3_SIRIPEN%20PONGPAICHET.png</t>
  </si>
  <si>
    <t>Woramon</t>
  </si>
  <si>
    <t>Chareonsuk</t>
  </si>
  <si>
    <t>https://studentmahidolac.sharepoint.com/sites/AcademicTeam603/Shared%20Documents/%E0%B9%81%E0%B8%AD%E0%B8%9B/Microsoft%20Forms/English%20Proficiency%20Test%20for%20Graduation%20-%20English/Please%20attached%20the%20original%20score%20certificate/MUICT2_Woramon%20Chareonsuk%208.png</t>
  </si>
  <si>
    <t>Patipat</t>
  </si>
  <si>
    <t>Chewprecha</t>
  </si>
  <si>
    <t>Not Pass</t>
  </si>
  <si>
    <t>MU</t>
  </si>
  <si>
    <t>https://studentmahidolac.sharepoint.com/sites/AcademicTeam603/Shared%20Documents/%E0%B9%81%E0%B8%AD%E0%B8%9B/Microsoft%20Forms/English%20Proficiency%20Test%20for%20Graduation%20-%20English/Please%20attached%20the%20original%20score%20certificate/IDCardExample_Patipat%20Chewprecha%2010.jpg</t>
  </si>
  <si>
    <t>Poobase</t>
  </si>
  <si>
    <t>Somanawat</t>
  </si>
  <si>
    <t>Saengduean</t>
  </si>
  <si>
    <t>Pornpanomchai</t>
  </si>
  <si>
    <t>Warunthorn</t>
  </si>
  <si>
    <t>Jeansamoot</t>
  </si>
  <si>
    <t>Sudarat</t>
  </si>
  <si>
    <t>Chutilimpachart</t>
  </si>
  <si>
    <t>sudarat.nan@mahidol.ac.th</t>
  </si>
  <si>
    <t>Supakorn</t>
  </si>
  <si>
    <t>Panpithak</t>
  </si>
  <si>
    <t>supakorn.pap@mahidol.ac.th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</si>
  <si>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190153213_267017145213647_6747098700929083546_Supakorn%20Panpithak.jpg</t>
  </si>
  <si>
    <t>Itthiphol</t>
  </si>
  <si>
    <t>Makkappalanon</t>
  </si>
  <si>
    <t>Alexander</t>
  </si>
  <si>
    <t>Salde</t>
  </si>
  <si>
    <t>PBT</t>
  </si>
  <si>
    <t>https://studentmahidolac.sharepoint.com/sites/AcademicTeam603/Shared%20Documents/%E0%B9%81%E0%B8%AD%E0%B8%9B/Microsoft%20Forms/English%20Proficiency%20Test%20for%20Graduation%20-%20English/Please%20attached%20the%20original%20score%20certificate/toefl%20(1)_Alexander%20Salde.jpg</t>
  </si>
  <si>
    <t>Noppawan</t>
  </si>
  <si>
    <t>Raluekmool</t>
  </si>
  <si>
    <t>Prach</t>
  </si>
  <si>
    <t>Chaisiri</t>
  </si>
  <si>
    <t>Kullaporn</t>
  </si>
  <si>
    <t>Hongthong</t>
  </si>
  <si>
    <t>Buntida</t>
  </si>
  <si>
    <t>Suvacharakulton</t>
  </si>
  <si>
    <t>Jira</t>
  </si>
  <si>
    <t>Hutaman</t>
  </si>
  <si>
    <t>Kessarin</t>
  </si>
  <si>
    <t>Thoithat</t>
  </si>
  <si>
    <t>kessrin.tho@mahidol.ac.th</t>
  </si>
  <si>
    <t>_ForSystem_StudentEmailNoSpace</t>
  </si>
  <si>
    <t>PUTTHICHAI</t>
  </si>
  <si>
    <t>CHAITHUMMAPAKORN</t>
  </si>
  <si>
    <t>Pass MU Intensive</t>
  </si>
  <si>
    <t>091-892-6259</t>
  </si>
  <si>
    <t>putthichai.cha@student.mahidol.edu</t>
  </si>
  <si>
    <t>WARINTORN</t>
  </si>
  <si>
    <t>VISEDSANG</t>
  </si>
  <si>
    <t>088-610-8826</t>
  </si>
  <si>
    <t>warintorn.vis@student.mahidol.ac.th</t>
  </si>
  <si>
    <t>RAPIPAT</t>
  </si>
  <si>
    <t>UDOMGUN</t>
  </si>
  <si>
    <t>097-169-1665</t>
  </si>
  <si>
    <t>rapipat.udo@student.mahidol.ac.th</t>
  </si>
  <si>
    <t>VARUIT</t>
  </si>
  <si>
    <t>WUTTISATHIT</t>
  </si>
  <si>
    <t> 081-845-5023</t>
  </si>
  <si>
    <t>varuit.wui@student.mahidol.ac.th</t>
  </si>
  <si>
    <t>MISS</t>
  </si>
  <si>
    <t>VIDCHAYADA</t>
  </si>
  <si>
    <t>CHAISANGKHA</t>
  </si>
  <si>
    <t>081-406-1002</t>
  </si>
  <si>
    <t>vidchayada.cha@student.mahidol.ac.th</t>
  </si>
  <si>
    <t>RAMITA</t>
  </si>
  <si>
    <t>CHONGCHAM</t>
  </si>
  <si>
    <t>Pass IELTS</t>
  </si>
  <si>
    <t>092-520-4430</t>
  </si>
  <si>
    <t>ramita.cho@student.mahidol.ac.th</t>
  </si>
  <si>
    <t>AORAVEE</t>
  </si>
  <si>
    <t>DONNOMPRI</t>
  </si>
  <si>
    <t>095-887-1177</t>
  </si>
  <si>
    <t>aoravee.don@student.mahidol.ac.th</t>
  </si>
  <si>
    <t>VARISARA</t>
  </si>
  <si>
    <t>JANMATAKULWAT</t>
  </si>
  <si>
    <t>Pass Duolingo</t>
  </si>
  <si>
    <t>092-250-3183</t>
  </si>
  <si>
    <t>varisara.jan@student.mahidol.ac.th</t>
  </si>
  <si>
    <t>JIRAKORN</t>
  </si>
  <si>
    <t>JIRAPONPAISAL</t>
  </si>
  <si>
    <t>085-555-3449</t>
  </si>
  <si>
    <t>jirakorn.jir@student.mahidol.ac.th</t>
  </si>
  <si>
    <t>WORAWIT</t>
  </si>
  <si>
    <t>KAEWPRASERT</t>
  </si>
  <si>
    <t>090-101-9395</t>
  </si>
  <si>
    <t>worawit.kae@student.mahidol.ac.th</t>
  </si>
  <si>
    <t>NATTHAPORN</t>
  </si>
  <si>
    <t>KOBKULKALYAKORN</t>
  </si>
  <si>
    <t>092-248-3162</t>
  </si>
  <si>
    <t>natthaporn.kob@student.mahidol.ac.th</t>
  </si>
  <si>
    <t>PHUMRAPEE</t>
  </si>
  <si>
    <t>LIMPIANCHOP</t>
  </si>
  <si>
    <t>088-658-2601</t>
  </si>
  <si>
    <t>phumrapee.lim@student.mahidol.ac.th</t>
  </si>
  <si>
    <t>CHANSIDA</t>
  </si>
  <si>
    <t>MAKARANOND</t>
  </si>
  <si>
    <t>081-900-5885</t>
  </si>
  <si>
    <t>chansida.mak@student.mahidol.ac.th</t>
  </si>
  <si>
    <t>OSH</t>
  </si>
  <si>
    <t>NARAYAN</t>
  </si>
  <si>
    <t>092-256-6571</t>
  </si>
  <si>
    <t>osh.nar@student.mahidol.ac.th</t>
  </si>
  <si>
    <t>SUTTIPAT</t>
  </si>
  <si>
    <t>BURANATREVEDH</t>
  </si>
  <si>
    <t>085-252-8447</t>
  </si>
  <si>
    <t>suttipat.bur@student.mahidol.ac.th</t>
  </si>
  <si>
    <t>ANAKIN</t>
  </si>
  <si>
    <t>PATCHAROTHAI</t>
  </si>
  <si>
    <t>089-019-9919</t>
  </si>
  <si>
    <t>anakin.pat@student.mahidol.ac.th</t>
  </si>
  <si>
    <t>SUTTICHOK</t>
  </si>
  <si>
    <t>CHOTISAKUL</t>
  </si>
  <si>
    <t>086-661-2188</t>
  </si>
  <si>
    <t>suttichok.cho@student.mahidol.ac.th</t>
  </si>
  <si>
    <t>WEERAPAT</t>
  </si>
  <si>
    <t>PIPITHRUENGKRAI</t>
  </si>
  <si>
    <t>093-134-2998</t>
  </si>
  <si>
    <t>weerapat.pip@student.mahidol.ac.th</t>
  </si>
  <si>
    <t>THANAPORN</t>
  </si>
  <si>
    <t>PLANGPHATTHANAPHANIT</t>
  </si>
  <si>
    <t>061-436-4199</t>
  </si>
  <si>
    <t>thanaporn.pln@student.mahidol.ac.th</t>
  </si>
  <si>
    <t>PATTARAKRIT</t>
  </si>
  <si>
    <t>RATTANUKUL</t>
  </si>
  <si>
    <t>085-529-2495</t>
  </si>
  <si>
    <t>pattarakrit.rat@student.mahidol.ac.th</t>
  </si>
  <si>
    <t>THANAWAT</t>
  </si>
  <si>
    <t>RIAMLIW</t>
  </si>
  <si>
    <t>098-046-9960</t>
  </si>
  <si>
    <t>thanawat.ria@student.mahidol.ac.th</t>
  </si>
  <si>
    <t>CHANATHIP</t>
  </si>
  <si>
    <t>SIRISANGPAIVAL</t>
  </si>
  <si>
    <t>089-490-0698</t>
  </si>
  <si>
    <t>chanathip.sir@student.mahidol.ac.th</t>
  </si>
  <si>
    <t>RUKSAT</t>
  </si>
  <si>
    <t>SOLADDA</t>
  </si>
  <si>
    <t>091-738-7893</t>
  </si>
  <si>
    <t>ruksat.sol@student.mahidol.ac.th</t>
  </si>
  <si>
    <t>WEERAPHAT</t>
  </si>
  <si>
    <t>SRISUTHAM</t>
  </si>
  <si>
    <t>086-889-1068</t>
  </si>
  <si>
    <t>weeraphat.sri@student.mahidol.ac.th</t>
  </si>
  <si>
    <t>PRAEWNAPA</t>
  </si>
  <si>
    <t>SUKHARANGSAN</t>
  </si>
  <si>
    <t>087-669-4207</t>
  </si>
  <si>
    <t>praewnapa.suk@student.mahidol.ac.th</t>
  </si>
  <si>
    <t>SUMUNA</t>
  </si>
  <si>
    <t>THAIJIA</t>
  </si>
  <si>
    <t>084-864-9426</t>
  </si>
  <si>
    <t>sumuna.tha@student.mahidol.ac.th</t>
  </si>
  <si>
    <t>ALISA</t>
  </si>
  <si>
    <t>UTHIKAMPORN</t>
  </si>
  <si>
    <t>080-448-8048</t>
  </si>
  <si>
    <t>alisa.uth@student.mahidol.ac.th</t>
  </si>
  <si>
    <t>PUMIPAT</t>
  </si>
  <si>
    <t>WATANAKULCHARUS</t>
  </si>
  <si>
    <t>Pass DUOLINGO</t>
  </si>
  <si>
    <t>082-348-2305</t>
  </si>
  <si>
    <t>pumipat.wat@student.mahidol.ac.th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</si>
  <si>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Duolingo%20English%20Test_PUMIPAT%20WATANAKULCHA.pdf</t>
  </si>
  <si>
    <t>SUPAKAN</t>
  </si>
  <si>
    <t>YODRUANGSA</t>
  </si>
  <si>
    <t>087-776-0028</t>
  </si>
  <si>
    <t>supakan.yod@student.mahidol.ac.th</t>
  </si>
  <si>
    <t>NATAKORN</t>
  </si>
  <si>
    <t>HONGHAN</t>
  </si>
  <si>
    <t>088-095-0014</t>
  </si>
  <si>
    <t>natakorn.hon@student.mahidol.ac.th</t>
  </si>
  <si>
    <t>NAPHAT</t>
  </si>
  <si>
    <t>KHAJOHN-UDOMRITH</t>
  </si>
  <si>
    <t>095-947-4543</t>
  </si>
  <si>
    <t>naphat.kha@student.mahidol.ac.th</t>
  </si>
  <si>
    <t>RATTANUNT</t>
  </si>
  <si>
    <t>KUMPEERASART</t>
  </si>
  <si>
    <t>083-854-2788</t>
  </si>
  <si>
    <t>rattanunt.kum@student.mahidol.ac.th</t>
  </si>
  <si>
    <t>THANYARAT</t>
  </si>
  <si>
    <t>KUNARITTIPOL</t>
  </si>
  <si>
    <t>087-488-2263</t>
  </si>
  <si>
    <t>thanyarat.kun@student.mahidol.ac.th</t>
  </si>
  <si>
    <t>NUTTIDA</t>
  </si>
  <si>
    <t>NAPAKAS</t>
  </si>
  <si>
    <t>061-013-1064</t>
  </si>
  <si>
    <t>nuttida.nap@student.mahidol.ac.th</t>
  </si>
  <si>
    <t>SUPANAT</t>
  </si>
  <si>
    <t>NUMMUANG</t>
  </si>
  <si>
    <t>Resign</t>
  </si>
  <si>
    <t>090-994-1085</t>
  </si>
  <si>
    <t>supanat.num@student.mahidol.ac.th</t>
  </si>
  <si>
    <t>WARAT</t>
  </si>
  <si>
    <t>PHAT-IN</t>
  </si>
  <si>
    <t>081-368-0343</t>
  </si>
  <si>
    <t>warat.pha@student.mahidol.ac.th</t>
  </si>
  <si>
    <t>THANATORN</t>
  </si>
  <si>
    <t>PRANGSRITHONG</t>
  </si>
  <si>
    <t>061-514-9644</t>
  </si>
  <si>
    <t>thanatorn.pra@student.mahidol.ac.th</t>
  </si>
  <si>
    <t>BOONYAWEE</t>
  </si>
  <si>
    <t>ROSJANAPIYAWONG</t>
  </si>
  <si>
    <t>063-632-9929</t>
  </si>
  <si>
    <t>boonyawee.ros@student.mahidol.ac.th</t>
  </si>
  <si>
    <t>JANTARAWAN</t>
  </si>
  <si>
    <t>SAE-TAE</t>
  </si>
  <si>
    <t xml:space="preserve">081-627-5699 </t>
  </si>
  <si>
    <t>jantarawan.sae@student.mahidol.ac.th</t>
  </si>
  <si>
    <t>EKAPHAT</t>
  </si>
  <si>
    <t>SEAMTHONG</t>
  </si>
  <si>
    <t>099-936-2292</t>
  </si>
  <si>
    <t>ekaphat.sea@student.mahidol.ac.th</t>
  </si>
  <si>
    <t>ARIYA</t>
  </si>
  <si>
    <t>SONTRAPORNPOL</t>
  </si>
  <si>
    <t>096-640-1115</t>
  </si>
  <si>
    <t>ariya.son@student.mahidol.ac.th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</si>
  <si>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Ariya%20-%20Duolingo%20English%20Test_ARIYA%20SONTRAPORNPOL.pdf</t>
  </si>
  <si>
    <t>NATCHANON</t>
  </si>
  <si>
    <t>THANAWAREE</t>
  </si>
  <si>
    <t>081-551-9851</t>
  </si>
  <si>
    <t>natchanon.tha@student.mahidol.ac.th</t>
  </si>
  <si>
    <t>KARIN</t>
  </si>
  <si>
    <t>VITOONKIJVANIT</t>
  </si>
  <si>
    <t>081-735-2117</t>
  </si>
  <si>
    <t>karin.vit@student.mahidol.ac.th</t>
  </si>
  <si>
    <t>CHULAJAK</t>
  </si>
  <si>
    <t>WATANYOO</t>
  </si>
  <si>
    <t>087-082-4455</t>
  </si>
  <si>
    <t>chulajak.wat@student.mahidol.ac.th</t>
  </si>
  <si>
    <t>WAIWARIT</t>
  </si>
  <si>
    <t>WONGSAWANGPANICH</t>
  </si>
  <si>
    <t>091-835-6199</t>
  </si>
  <si>
    <t>waiwarit.wog@student.mahidol.ac.th</t>
  </si>
  <si>
    <t>JIRACHAYA</t>
  </si>
  <si>
    <t>WONGSUPPAKARN</t>
  </si>
  <si>
    <t>094-873-7960</t>
  </si>
  <si>
    <t>jirachaya.won@student.mahidol.ac.th</t>
  </si>
  <si>
    <t>PUCHARAPIMON</t>
  </si>
  <si>
    <t>ARUNPUNPORN</t>
  </si>
  <si>
    <t>085-222-9456</t>
  </si>
  <si>
    <t>pucharapimon.aru@student.mahidol.ac.th</t>
  </si>
  <si>
    <t>KANRAWEE</t>
  </si>
  <si>
    <t>CHIAMSAKUL</t>
  </si>
  <si>
    <t>082-591-4546</t>
  </si>
  <si>
    <t>kanrawee.chi@student.mahidol.ac.th</t>
  </si>
  <si>
    <t>WONGCHANOK</t>
  </si>
  <si>
    <t>DEVAKULA NA AYUDHYA</t>
  </si>
  <si>
    <t>064-324-2320</t>
  </si>
  <si>
    <t>wongchanok.dev@student.mahidol.ac.th</t>
  </si>
  <si>
    <t>PAPHAWARIN</t>
  </si>
  <si>
    <t>KANCHANAPIBOON</t>
  </si>
  <si>
    <t>098-145-6395</t>
  </si>
  <si>
    <t>paphawarin.kan@student.mahidol.ac.th</t>
  </si>
  <si>
    <t>THIPWARA</t>
  </si>
  <si>
    <t>KARPHONDEE</t>
  </si>
  <si>
    <t>090-963-9202</t>
  </si>
  <si>
    <t>thipwara.kar@student.mahidol.ac.th</t>
  </si>
  <si>
    <t>SUPHANAT</t>
  </si>
  <si>
    <t>LIMPAARAYAKUL</t>
  </si>
  <si>
    <t>089-931-4723</t>
  </si>
  <si>
    <t>suphanat.lim@student.mahidol.ac.th</t>
  </si>
  <si>
    <t>MANGKHALES</t>
  </si>
  <si>
    <t>NGAMJARUSKOTCHAKORN</t>
  </si>
  <si>
    <t>090-983-4037</t>
  </si>
  <si>
    <t>mangkhales.nga@student.mahidol.ac.th</t>
  </si>
  <si>
    <t>SUPACHOK</t>
  </si>
  <si>
    <t>PHOLJIRAMONGKOL</t>
  </si>
  <si>
    <t>085-118-5090</t>
  </si>
  <si>
    <t>supachok.pho@student.mahidol.ac.th</t>
  </si>
  <si>
    <t>KRITCHANOK</t>
  </si>
  <si>
    <t>PONGWITTHAYAKUL</t>
  </si>
  <si>
    <t>084-169-4555</t>
  </si>
  <si>
    <t>kritchanok.pon@student.mahidol.ac.th</t>
  </si>
  <si>
    <t>HATHAICHANOK</t>
  </si>
  <si>
    <t>POTIVARA</t>
  </si>
  <si>
    <t>095-952-1087</t>
  </si>
  <si>
    <t>hathaichanok.pot@student.mahidol.ac.th</t>
  </si>
  <si>
    <t>PUENGPIPATTRAKOOL</t>
  </si>
  <si>
    <t>092-538-9953</t>
  </si>
  <si>
    <t>thanaporn.pug@student.mahidol.ac.th</t>
  </si>
  <si>
    <t>TANADON</t>
  </si>
  <si>
    <t>SANGKHATORN</t>
  </si>
  <si>
    <t>091-045-1814</t>
  </si>
  <si>
    <t>tanadon.san@student.mahidol.ac.th</t>
  </si>
  <si>
    <t>WORAMETH</t>
  </si>
  <si>
    <t>SIRITANAKORN</t>
  </si>
  <si>
    <t>091-851-2564</t>
  </si>
  <si>
    <t>worameth.sir@student.mahidol.ac.th</t>
  </si>
  <si>
    <t>PHONARNUN</t>
  </si>
  <si>
    <t>TATIYAMANEEKUL</t>
  </si>
  <si>
    <t>085-088-0365</t>
  </si>
  <si>
    <t>phonarnun.tai@student.mahidol.ac.th</t>
  </si>
  <si>
    <t>THANJIRA</t>
  </si>
  <si>
    <t>TORCHAROEN</t>
  </si>
  <si>
    <t>088-229-9973</t>
  </si>
  <si>
    <t>thanjira.tor@student.mahidol.ac.th</t>
  </si>
  <si>
    <t>SRITHPONG</t>
  </si>
  <si>
    <t>UDOMMONGCOLKIT</t>
  </si>
  <si>
    <t>092-253-7876</t>
  </si>
  <si>
    <t>srithpong.udo@student.mahidol.ac.th</t>
  </si>
  <si>
    <t>PREECHAYA</t>
  </si>
  <si>
    <t>WANNABHOOM</t>
  </si>
  <si>
    <t>082-795-8467</t>
  </si>
  <si>
    <t>preechaya.wan@student.mahidol.ac.th</t>
  </si>
  <si>
    <t>PHAKIN</t>
  </si>
  <si>
    <t>A-YAMUANG</t>
  </si>
  <si>
    <t>098-263-6863</t>
  </si>
  <si>
    <t>phakin.aya@student.mahidol.ac.th</t>
  </si>
  <si>
    <t>KRITTIPATT</t>
  </si>
  <si>
    <t>CHAIYABUD</t>
  </si>
  <si>
    <t>094-453-5123</t>
  </si>
  <si>
    <t>krittipatt.cha@student.mahidol.ac.th</t>
  </si>
  <si>
    <t>THARIT</t>
  </si>
  <si>
    <t>CHANTANALERTVILAI</t>
  </si>
  <si>
    <t>097-215-9098</t>
  </si>
  <si>
    <t>tharit.cha@student.mahidol.ac.th</t>
  </si>
  <si>
    <t>CHAYAPON</t>
  </si>
  <si>
    <t>CHANTRASAGUL</t>
  </si>
  <si>
    <t>090-784-6431</t>
  </si>
  <si>
    <t>chayapon.cha@student.mahidol.ac.th</t>
  </si>
  <si>
    <t>BENYAPHA</t>
  </si>
  <si>
    <t>CHEEWAPANICH</t>
  </si>
  <si>
    <t>086-973-9449</t>
  </si>
  <si>
    <t>benyapha.che@student.mahidol.ac.th</t>
  </si>
  <si>
    <t>SUPITCHAYA</t>
  </si>
  <si>
    <t>DREEMATURAKUL</t>
  </si>
  <si>
    <t>081-685-5608</t>
  </si>
  <si>
    <t>supitchaya.dre@student.mahidol.ac.th</t>
  </si>
  <si>
    <t>SUPAWEE</t>
  </si>
  <si>
    <t>FOITONG</t>
  </si>
  <si>
    <t>089-703-6713</t>
  </si>
  <si>
    <t>supawee.foi@student.mahidol.ac.th</t>
  </si>
  <si>
    <t>NANNAPHAT</t>
  </si>
  <si>
    <t>JIRATHIYUT</t>
  </si>
  <si>
    <t>062-738-5553</t>
  </si>
  <si>
    <t>nannaphat.jir@student.mahidol.ac.th</t>
  </si>
  <si>
    <t>THANYANIT</t>
  </si>
  <si>
    <t>JONGJITRAGAN</t>
  </si>
  <si>
    <t>098-586-9865</t>
  </si>
  <si>
    <t>thanyanit.jon@student.mahidol.ac.th</t>
  </si>
  <si>
    <t>PICHAMOL</t>
  </si>
  <si>
    <t>JUMNIENPHET</t>
  </si>
  <si>
    <t>089-083-7514</t>
  </si>
  <si>
    <t>pichamol.jun@student.mahidol.ac.th</t>
  </si>
  <si>
    <t>TEEKAWIN</t>
  </si>
  <si>
    <t>KIRDSAENG</t>
  </si>
  <si>
    <t>097-205-5551</t>
  </si>
  <si>
    <t>teekawin.kir@student.mahidol.ac.th</t>
  </si>
  <si>
    <t>THANAPON</t>
  </si>
  <si>
    <t>LUANGKRENGKRAI</t>
  </si>
  <si>
    <t>092-862-5566</t>
  </si>
  <si>
    <t>thanapon.lua@student.mahidol.ac.th</t>
  </si>
  <si>
    <t>TRIN</t>
  </si>
  <si>
    <t>NUCHCHAROEN</t>
  </si>
  <si>
    <t>082-591-9688</t>
  </si>
  <si>
    <t>trin.nuc@student.mahidol.ac.th</t>
  </si>
  <si>
    <t>SARUN</t>
  </si>
  <si>
    <t>JUNBANG</t>
  </si>
  <si>
    <t>081-943-6141</t>
  </si>
  <si>
    <t>sarun.jun@student.mahidol.ac.th</t>
  </si>
  <si>
    <t>SARIT</t>
  </si>
  <si>
    <t>OPASPAKORNKIJ</t>
  </si>
  <si>
    <t>089-170-6064</t>
  </si>
  <si>
    <t>sarit.opa@student.mahidol.ac.th</t>
  </si>
  <si>
    <t>PARAMIN</t>
  </si>
  <si>
    <t>PHOKABUTR</t>
  </si>
  <si>
    <t>089-888-4849</t>
  </si>
  <si>
    <t>paramin.pha@student.mahidol.ac.th</t>
  </si>
  <si>
    <t>KUNTHORN</t>
  </si>
  <si>
    <t>PHONGLUELERT</t>
  </si>
  <si>
    <t>086-331-1170</t>
  </si>
  <si>
    <t>kunthorn.pho@student.mahidol.ac.th</t>
  </si>
  <si>
    <t>ANANYA</t>
  </si>
  <si>
    <t>PINEDO BELLO</t>
  </si>
  <si>
    <t>081-746-0970</t>
  </si>
  <si>
    <t>ananya.pin@student.mahidol.ac.th</t>
  </si>
  <si>
    <t>CHOTIVIT</t>
  </si>
  <si>
    <t>PITIPANJAPHAIBOON</t>
  </si>
  <si>
    <t>086-990-7289</t>
  </si>
  <si>
    <t>chotivit.pit@student.mahidol.ac.th</t>
  </si>
  <si>
    <t>KITTIKORN</t>
  </si>
  <si>
    <t>KEERATIKRIANGKRAI</t>
  </si>
  <si>
    <t>098-258-4884</t>
  </si>
  <si>
    <t>kittikorn.kee@student.mahidol.ac.th</t>
  </si>
  <si>
    <t>NONGLAK</t>
  </si>
  <si>
    <t>RATTANASETTAWANIT</t>
  </si>
  <si>
    <t>099-185-9325</t>
  </si>
  <si>
    <t>nonglak.rat@student.mahidol.ac.th</t>
  </si>
  <si>
    <t>NATTAWIPA</t>
  </si>
  <si>
    <t>SAETAE</t>
  </si>
  <si>
    <t>085-112-3939</t>
  </si>
  <si>
    <t>nattawipa.sae@student.mahidol.ac.th</t>
  </si>
  <si>
    <t>NAPAT</t>
  </si>
  <si>
    <t>SIRICHAN</t>
  </si>
  <si>
    <t>081-815-6829</t>
  </si>
  <si>
    <t>napat.sic@student.mahidol.ac.th</t>
  </si>
  <si>
    <t>KAMUPSORN</t>
  </si>
  <si>
    <t>SANSUK</t>
  </si>
  <si>
    <t>083-889-7391</t>
  </si>
  <si>
    <t>kamupsorn.san@student.mahidol.ac.th</t>
  </si>
  <si>
    <t>KONGPOP</t>
  </si>
  <si>
    <t>SOMSIRITHAM</t>
  </si>
  <si>
    <t>087-107-1696</t>
  </si>
  <si>
    <t>kongpop.som@student.mahidol.ac.th</t>
  </si>
  <si>
    <t>NATTAPONG</t>
  </si>
  <si>
    <t>SONGSAKSRI</t>
  </si>
  <si>
    <t>087-784-9449</t>
  </si>
  <si>
    <t>nattapong.son@student.mahidol.ac.th</t>
  </si>
  <si>
    <t>PAKAPHORN</t>
  </si>
  <si>
    <t>VITAYAVIJIT</t>
  </si>
  <si>
    <t>095-763-3003</t>
  </si>
  <si>
    <t>pakaphorn.vit@student.mahidol.ac.th</t>
  </si>
  <si>
    <t>TANYALAK</t>
  </si>
  <si>
    <t>SRIANONG</t>
  </si>
  <si>
    <t>097-084-4999</t>
  </si>
  <si>
    <t>tanyalak.sra@student.mahidol.ac.th</t>
  </si>
  <si>
    <t>WARANGKHANA</t>
  </si>
  <si>
    <t>SRICHAN</t>
  </si>
  <si>
    <t>080-166-7395</t>
  </si>
  <si>
    <t>warangkhana.src@student.mahidol.ac.th</t>
  </si>
  <si>
    <t>WARAKRON</t>
  </si>
  <si>
    <t>SRIKASEM</t>
  </si>
  <si>
    <t>094-486-1801</t>
  </si>
  <si>
    <t>warakron.sri@student.mahidol.ac.th</t>
  </si>
  <si>
    <t>KANITIN</t>
  </si>
  <si>
    <t>YUENYONG</t>
  </si>
  <si>
    <t>097-140-4184</t>
  </si>
  <si>
    <t>kanitin.yue@student.mahidol.ac.th</t>
  </si>
  <si>
    <t>MAYTAPORN</t>
  </si>
  <si>
    <t>PINCHALOARN</t>
  </si>
  <si>
    <t>090-642-7742</t>
  </si>
  <si>
    <t>maytaporn.pin@student.mahidol.ac.th</t>
  </si>
  <si>
    <t>KASADIN</t>
  </si>
  <si>
    <t>WISETPRASIT</t>
  </si>
  <si>
    <t>Internet-based</t>
  </si>
  <si>
    <t>094-789-0005</t>
  </si>
  <si>
    <t>kasadin.wis@student.mahidol.ac.th</t>
  </si>
  <si>
    <t>CHATCHAPONG</t>
  </si>
  <si>
    <t>MINGMONGKHOL</t>
  </si>
  <si>
    <t>097-109-8068</t>
  </si>
  <si>
    <t>chatchapong.min@student.mahidol.ac.th</t>
  </si>
  <si>
    <t>PODCHAWAT</t>
  </si>
  <si>
    <t>WORATHANAKUL</t>
  </si>
  <si>
    <t>063-949-1357</t>
  </si>
  <si>
    <t>podchawat.wor@student.mahidol.ac.th</t>
  </si>
  <si>
    <t>NATCHAPON</t>
  </si>
  <si>
    <t>ARUNPAISANKIT</t>
  </si>
  <si>
    <t>090-097-2532</t>
  </si>
  <si>
    <t>natchapon.aru@student.mahidol.ac.th</t>
  </si>
  <si>
    <t>THANANYA</t>
  </si>
  <si>
    <t>CHATTRANUSORN</t>
  </si>
  <si>
    <t>088-340-7556</t>
  </si>
  <si>
    <t>thananya.cht@student.mahidol.ac.th</t>
  </si>
  <si>
    <t>NATAREE</t>
  </si>
  <si>
    <t>MANEESAWAT</t>
  </si>
  <si>
    <t>083-837-3879</t>
  </si>
  <si>
    <t>nataree.man@student.mahidol.ac.th</t>
  </si>
  <si>
    <t>PIYADA</t>
  </si>
  <si>
    <t>PHATTANATARANA</t>
  </si>
  <si>
    <t>089-311-2139</t>
  </si>
  <si>
    <t>piyada.pha@student.mahidol.ac.th</t>
  </si>
  <si>
    <t>PIYAKORN</t>
  </si>
  <si>
    <t>SUWANNAKARN</t>
  </si>
  <si>
    <t>089-207-3444</t>
  </si>
  <si>
    <t>piyakorn.suw@student.mahidol.ac.th</t>
  </si>
  <si>
    <t>PATCHARA</t>
  </si>
  <si>
    <t>SANYANUBAN</t>
  </si>
  <si>
    <t>097-921-4850</t>
  </si>
  <si>
    <t>patchara.say@student.mahidol.ac.th</t>
  </si>
  <si>
    <t>PIMOLPORN</t>
  </si>
  <si>
    <t>MALSUTHI</t>
  </si>
  <si>
    <t>096-860-3450</t>
  </si>
  <si>
    <t>pimolporn.mal@student.mahidol.ac.th</t>
  </si>
  <si>
    <t>PIRAYA</t>
  </si>
  <si>
    <t>CHANTIP</t>
  </si>
  <si>
    <t>099-289-4849</t>
  </si>
  <si>
    <t>piraya.chn@student.mahidol.ac.th</t>
  </si>
  <si>
    <t>PATARAPONG</t>
  </si>
  <si>
    <t>JOMKHAMSRI</t>
  </si>
  <si>
    <t>090-887-4854</t>
  </si>
  <si>
    <t>patarapong.jom@student.mahidol.ac.th</t>
  </si>
  <si>
    <t>RUNGSIMUN</t>
  </si>
  <si>
    <t>MANASBOONPERMPOOL</t>
  </si>
  <si>
    <t>097-454-1545</t>
  </si>
  <si>
    <t>rungsimun.man@student.mahidol.ac.th</t>
  </si>
  <si>
    <t>WIPADA</t>
  </si>
  <si>
    <t>KAEWTHONG</t>
  </si>
  <si>
    <t>085-123-4420</t>
  </si>
  <si>
    <t>wipada.kae@student.mahidol.ac.th</t>
  </si>
  <si>
    <t>VISARUT</t>
  </si>
  <si>
    <t>MARGUN</t>
  </si>
  <si>
    <t>081-457-0663</t>
  </si>
  <si>
    <t>visarut.mar@student.mahidol.ac.th</t>
  </si>
  <si>
    <t>SARANPOJ</t>
  </si>
  <si>
    <t>SUKANNHAKETU</t>
  </si>
  <si>
    <t>084-336-5605</t>
  </si>
  <si>
    <t>saranpoj.suk@student.mahidol.ac.th</t>
  </si>
  <si>
    <t>SARANNUCH</t>
  </si>
  <si>
    <t>TRONGTORSAK</t>
  </si>
  <si>
    <t>095-589-8136</t>
  </si>
  <si>
    <t>sarannuch.tro@student.mahidol.ac.th</t>
  </si>
  <si>
    <t>SAHARAT</t>
  </si>
  <si>
    <t>ARAMA</t>
  </si>
  <si>
    <t>095-050-9366</t>
  </si>
  <si>
    <t>saharat.ara@student.mahidol.ac.th</t>
  </si>
  <si>
    <t>EKKAWIT</t>
  </si>
  <si>
    <t>SANGRUENGKIT</t>
  </si>
  <si>
    <t>099-226-5656</t>
  </si>
  <si>
    <t>ekkawit.san@student.mahidol.ac.th</t>
  </si>
  <si>
    <t>KANITTHA</t>
  </si>
  <si>
    <t>CHIEOCHANSILP</t>
  </si>
  <si>
    <t>088-203-6619</t>
  </si>
  <si>
    <t>kanittha.che@student.mahidol.ac.th</t>
  </si>
  <si>
    <t>NAPATR</t>
  </si>
  <si>
    <t>THAITHAWEEWATTANAKUL</t>
  </si>
  <si>
    <t>090-909-8422</t>
  </si>
  <si>
    <t>napatr.thi@student.mahidol.ac.th</t>
  </si>
  <si>
    <t>THUNYATHORN</t>
  </si>
  <si>
    <t>PANSRI</t>
  </si>
  <si>
    <t>086-754-9801</t>
  </si>
  <si>
    <t>thunyathorn.pas@student.mahidol.ac.th</t>
  </si>
  <si>
    <t>PALITA</t>
  </si>
  <si>
    <t>THONGYAI</t>
  </si>
  <si>
    <t>083-595-4100</t>
  </si>
  <si>
    <t>palita.thy@student.mahidol.ac.th</t>
  </si>
  <si>
    <t>CHINMANOPAN</t>
  </si>
  <si>
    <t>096-920-4495</t>
  </si>
  <si>
    <t>patchara.chp@student.mahidol.ac.th</t>
  </si>
  <si>
    <t>MATAWEE</t>
  </si>
  <si>
    <t>NAKRONVARITTIPONG</t>
  </si>
  <si>
    <t>083-292-1116</t>
  </si>
  <si>
    <t>matawee.nak@student.mahidol.ac.th</t>
  </si>
  <si>
    <t>WANWISA</t>
  </si>
  <si>
    <t>LAOWSIRIWONG</t>
  </si>
  <si>
    <t>095-248-4849</t>
  </si>
  <si>
    <t>wanwisa.waw@student.mahidol.ac.th</t>
  </si>
  <si>
    <t>ORNPICHA</t>
  </si>
  <si>
    <t>ARUNSANGSIL</t>
  </si>
  <si>
    <t>065-052-4491</t>
  </si>
  <si>
    <t>ornpicha.aru@student.mahidol.ac.th</t>
  </si>
  <si>
    <t xml:space="preserve">XUCHEN </t>
  </si>
  <si>
    <t>GUO</t>
  </si>
  <si>
    <t>061-850-7471</t>
  </si>
  <si>
    <t>xuchen.guo@student.mahidol.ac.th</t>
  </si>
  <si>
    <t xml:space="preserve">YUXIANG </t>
  </si>
  <si>
    <t>HU</t>
  </si>
  <si>
    <t>063-728-1558</t>
  </si>
  <si>
    <t>yuxiang.hu@student.mahidol.ac.th</t>
  </si>
  <si>
    <t xml:space="preserve">WEITONG </t>
  </si>
  <si>
    <t>DENG</t>
  </si>
  <si>
    <t>064-224-8719</t>
  </si>
  <si>
    <t>weitong.den@student.mahidol.ac.th</t>
  </si>
  <si>
    <t xml:space="preserve">YUYANG </t>
  </si>
  <si>
    <t>LAI</t>
  </si>
  <si>
    <t>096-713-4576</t>
  </si>
  <si>
    <t>yuyang.lai@student.mahidol.ac.th</t>
  </si>
  <si>
    <t> PORAPAT</t>
  </si>
  <si>
    <t> HOSANGUAN</t>
  </si>
  <si>
    <t>082-178-2740</t>
  </si>
  <si>
    <t>porapat.hos@student.mahidol.ac.th</t>
  </si>
  <si>
    <t> MR.</t>
  </si>
  <si>
    <t> WITCHAIYUT</t>
  </si>
  <si>
    <t> PHIEWLA-OR</t>
  </si>
  <si>
    <t>085-608-5000</t>
  </si>
  <si>
    <t>witchaiyut.phi@student.mahidol.ac.th</t>
  </si>
  <si>
    <t> SAKDA</t>
  </si>
  <si>
    <t> RUEANGRIT</t>
  </si>
  <si>
    <t>082-941-7165</t>
  </si>
  <si>
    <t>sakda.rue@student.mahidol.ac.th</t>
  </si>
  <si>
    <t> TULYAWAT</t>
  </si>
  <si>
    <t> WORAPATCHAI</t>
  </si>
  <si>
    <t>092-473-4788</t>
  </si>
  <si>
    <t>tulyawat.wor@student.mahidol.ac.th</t>
  </si>
  <si>
    <t>SOKSEDTHA</t>
  </si>
  <si>
    <t>LY</t>
  </si>
  <si>
    <t>095-062-4786</t>
  </si>
  <si>
    <t>soksedtha.ly@student.mahidol.ac.th</t>
  </si>
  <si>
    <t>SIRIWIMON</t>
  </si>
  <si>
    <t>AINSAWANG</t>
  </si>
  <si>
    <t>0923625065 </t>
  </si>
  <si>
    <t>siriwimon.ain@student.mahidol.ac.th</t>
  </si>
  <si>
    <t>CHERDRUSH</t>
  </si>
  <si>
    <t>APIRATIWUT</t>
  </si>
  <si>
    <t>0876710841 </t>
  </si>
  <si>
    <t>cherdrush.api@student.mahidol.ac.th</t>
  </si>
  <si>
    <t>PUBAS</t>
  </si>
  <si>
    <t>DEEDUMRONG</t>
  </si>
  <si>
    <t>0970232137 </t>
  </si>
  <si>
    <t>pubas.dee@student.mahidol.ac.th</t>
  </si>
  <si>
    <t>PANHAVATH</t>
  </si>
  <si>
    <t>METH</t>
  </si>
  <si>
    <t>084-0297926 </t>
  </si>
  <si>
    <t>panhavath.met@student.mahidol.ac.th</t>
  </si>
  <si>
    <t>THANVA</t>
  </si>
  <si>
    <t>GRIGOREV</t>
  </si>
  <si>
    <t>thanva.gri@student.mahidol.ac.th</t>
  </si>
  <si>
    <t>JIRATCHAYA</t>
  </si>
  <si>
    <t>BENYAKUL</t>
  </si>
  <si>
    <t>0956043182 </t>
  </si>
  <si>
    <t>jiratchaya.ben@student.mahidol.ac.th</t>
  </si>
  <si>
    <t>KRITSADAPORN</t>
  </si>
  <si>
    <t>BOONPLOOK</t>
  </si>
  <si>
    <t>0649350951 </t>
  </si>
  <si>
    <t>kritsadaporn.boo@student.mahidol.ac.th</t>
  </si>
  <si>
    <t>KANYAKORN</t>
  </si>
  <si>
    <t>VIPHAYA</t>
  </si>
  <si>
    <t>0814028861 </t>
  </si>
  <si>
    <t>kanyakorn.vip@student.mahidol.ac.th</t>
  </si>
  <si>
    <t>CHOTIKARN</t>
  </si>
  <si>
    <t>CHALERMJIRARAT</t>
  </si>
  <si>
    <t>0845448222 </t>
  </si>
  <si>
    <t>chotikarn.cha@student.mahidol.ac.th</t>
  </si>
  <si>
    <t>NAKAMON</t>
  </si>
  <si>
    <t>NUTASANE</t>
  </si>
  <si>
    <t>0814053309 </t>
  </si>
  <si>
    <t>nakamon.nut@student.mahidol.ac.th</t>
  </si>
  <si>
    <t>PARINTHORN</t>
  </si>
  <si>
    <t>CHANTANUN</t>
  </si>
  <si>
    <t>0989561553 </t>
  </si>
  <si>
    <t>parinthorn.cha@student.mahidol.ac.th</t>
  </si>
  <si>
    <t>SUPASAN</t>
  </si>
  <si>
    <t>LIENGCHAISIRI</t>
  </si>
  <si>
    <t>supasan.lie@student.mahidol.ac.th</t>
  </si>
  <si>
    <t>METASIT</t>
  </si>
  <si>
    <t>GETRAK</t>
  </si>
  <si>
    <t>0917476899 </t>
  </si>
  <si>
    <t>metasit.get@student.mahidol.ac.th</t>
  </si>
  <si>
    <t>SATHITA</t>
  </si>
  <si>
    <t>INTARACHOTE</t>
  </si>
  <si>
    <t>0944836158 </t>
  </si>
  <si>
    <t>sathita.int@student.mahidol.ac.th</t>
  </si>
  <si>
    <t>KARNTRIN</t>
  </si>
  <si>
    <t>JANTARAPAKDE</t>
  </si>
  <si>
    <t>Personal</t>
  </si>
  <si>
    <t>0830518591 </t>
  </si>
  <si>
    <t>karntrin.jan@student.mahidol.ac.th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</si>
  <si>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Toeic%20certificate%206288015_KARNTRIN%20JANTARAPAKD.jpg</t>
  </si>
  <si>
    <t>SATAYU</t>
  </si>
  <si>
    <t>NARONGLERDRIT</t>
  </si>
  <si>
    <t>0821264140 </t>
  </si>
  <si>
    <t>satayu.nar@student.mahidol.ac.th</t>
  </si>
  <si>
    <t>VACHARAVICH</t>
  </si>
  <si>
    <t>JIRAVATVANICH</t>
  </si>
  <si>
    <t>0955607989 </t>
  </si>
  <si>
    <t>vacharavich.jir@student.mahidol.ac.th</t>
  </si>
  <si>
    <t>THANAPAT</t>
  </si>
  <si>
    <t>JUMNONGRAT</t>
  </si>
  <si>
    <t>0959488165 </t>
  </si>
  <si>
    <t>thanapat.jum@student.mahidol.ac.th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</si>
  <si>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6288018_MU-ELT_THANAPAT%20JUMNONGRAT.pdf</t>
  </si>
  <si>
    <t>NATCHA</t>
  </si>
  <si>
    <t>KOEDSIAM</t>
  </si>
  <si>
    <t>natcha.koe@student.mahidol.ac.th</t>
  </si>
  <si>
    <t>URISAYAR</t>
  </si>
  <si>
    <t>KAEWPICHAI</t>
  </si>
  <si>
    <t>0967307773 </t>
  </si>
  <si>
    <t>urisayar.kae@student.mahidol.ac.th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</si>
  <si>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MU-ELT_URISAYAR%20KAEWPICHAI%202.pdf</t>
  </si>
  <si>
    <t>PIMSUANG</t>
  </si>
  <si>
    <t>KANJANATAWEWAT</t>
  </si>
  <si>
    <t>0873436763 </t>
  </si>
  <si>
    <t>pimsuang.kan@student.mahidol.ac.th</t>
  </si>
  <si>
    <t>WORAMATE</t>
  </si>
  <si>
    <t>KEAMSUWAN</t>
  </si>
  <si>
    <t>0821092275 </t>
  </si>
  <si>
    <t>woramate.kea@student.mahidol.ac.th</t>
  </si>
  <si>
    <t>NICHAKORN</t>
  </si>
  <si>
    <t>SRIPHISON</t>
  </si>
  <si>
    <t>0954856295 </t>
  </si>
  <si>
    <t>nichakorn.srp@student.mahidol.ac.th</t>
  </si>
  <si>
    <t>KOMSAN</t>
  </si>
  <si>
    <t>KONGWONGSUPAK</t>
  </si>
  <si>
    <t>0922782349 </t>
  </si>
  <si>
    <t>komsan.kon@student.mahidol.ac.th</t>
  </si>
  <si>
    <t>SRAWIN</t>
  </si>
  <si>
    <t>KRISANAYOTIN</t>
  </si>
  <si>
    <t>0855110794 </t>
  </si>
  <si>
    <t>srawin.kri@student.mahidol.ac.th</t>
  </si>
  <si>
    <t>PITIPAT</t>
  </si>
  <si>
    <t>LERTSOONTORNPOJ</t>
  </si>
  <si>
    <t>5/25/2022</t>
  </si>
  <si>
    <t>0802442525 </t>
  </si>
  <si>
    <t>pitipat.ler@student.mahidol.ac.th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</si>
  <si>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6288026_MU-ELT_PITIPAT%20LERTSOONTORN.jpg</t>
  </si>
  <si>
    <t>THANAWAN</t>
  </si>
  <si>
    <t>LHIMPATHANAWAT</t>
  </si>
  <si>
    <t>0622217338 </t>
  </si>
  <si>
    <t>thanawan.lhi@student.mahidol.ac.th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</si>
  <si>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Duolingo%20English%20Test%20-%206288027%20Thanawan%20Lh_THANAWAN%20LHIMPATHANA.pdf</t>
  </si>
  <si>
    <t>THANAKORN</t>
  </si>
  <si>
    <t>LIMPANAWUTHI</t>
  </si>
  <si>
    <t>0867708399 </t>
  </si>
  <si>
    <t>thanakorn.lim@student.mahidol.ac.th</t>
  </si>
  <si>
    <t>KASEMWAT</t>
  </si>
  <si>
    <t>ONGKANCHANA</t>
  </si>
  <si>
    <t>0853431342 </t>
  </si>
  <si>
    <t>kasemwat.ong@student.mahidol.ac.th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</si>
  <si>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TOEICcertificate_KASEMWAT%20ONGKANCHANA.jpg</t>
  </si>
  <si>
    <t>SORAWIT</t>
  </si>
  <si>
    <t>ONGSIRIPORN</t>
  </si>
  <si>
    <t>0920483730 </t>
  </si>
  <si>
    <t>sorawit.ong@student.mahidol.ac.th</t>
  </si>
  <si>
    <t>AEKKALUK</t>
  </si>
  <si>
    <t>PANYACHAROENSRI</t>
  </si>
  <si>
    <t>0993424684 </t>
  </si>
  <si>
    <t>aekkaluk.pan@student.mahidol.ac.th</t>
  </si>
  <si>
    <t>SUTI</t>
  </si>
  <si>
    <t>PONGPITAKPAKDE</t>
  </si>
  <si>
    <t>0994512161 </t>
  </si>
  <si>
    <t>suti.pon@student.mahidol.ac.th</t>
  </si>
  <si>
    <t>NUTTAPONG</t>
  </si>
  <si>
    <t>PRACHAYATONG</t>
  </si>
  <si>
    <t>nuttapong.pra@student.mahidol.ac.th</t>
  </si>
  <si>
    <t>PRANUNGFUN</t>
  </si>
  <si>
    <t>PRAPAENEE</t>
  </si>
  <si>
    <t>0830271397 </t>
  </si>
  <si>
    <t>pranungfun.pra@student.mahidol.ac.th</t>
  </si>
  <si>
    <t>VEERAKIT</t>
  </si>
  <si>
    <t>PRASERTPOL</t>
  </si>
  <si>
    <t>0939542588 </t>
  </si>
  <si>
    <t>veerakit.pra@student.mahidol.ac.th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</si>
  <si>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veerakit-muelt_VEERAKIT%20PRASERTPOL.jpg</t>
  </si>
  <si>
    <t>TANAKORN</t>
  </si>
  <si>
    <t>YIMLAMAI</t>
  </si>
  <si>
    <t>0947077466 </t>
  </si>
  <si>
    <t>tanakorn.yim@student.mahidol.ac.th</t>
  </si>
  <si>
    <t>NATANON</t>
  </si>
  <si>
    <t>RITTA</t>
  </si>
  <si>
    <t>September 7,2022</t>
  </si>
  <si>
    <t>0903434030 </t>
  </si>
  <si>
    <t>natanon.rit@student.mahidol.ac.th</t>
  </si>
  <si>
    <t>CHAYAPOL</t>
  </si>
  <si>
    <t>ROBKOB</t>
  </si>
  <si>
    <t>083-844-7322 </t>
  </si>
  <si>
    <t>chayapol.rob@student.mahidol.ac.th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</si>
  <si>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3209CD04-86B2-4F43-966A-5A0D16E2ED7C_CHAYAPOL%20ROBKOB.jpeg</t>
  </si>
  <si>
    <t>VARIT</t>
  </si>
  <si>
    <t>RUNGBANAPAN</t>
  </si>
  <si>
    <t>0897850221 </t>
  </si>
  <si>
    <t>varit.run@student.mahidol.ac.th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</si>
  <si>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6288039_Score_VARIT%20RUNGBANAPAN.jpg</t>
  </si>
  <si>
    <t>KLAYUTH</t>
  </si>
  <si>
    <t>SARNTIVEERAPATRA</t>
  </si>
  <si>
    <t>083-078-9790 </t>
  </si>
  <si>
    <t>klayuth.sar@student.mahidol.ac.th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</si>
  <si>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IMG20230227104509_KLAYUTH%20SARNTIVEERAP.jpg</t>
  </si>
  <si>
    <t>PRIN</t>
  </si>
  <si>
    <t>SATITCHAIPAISARN</t>
  </si>
  <si>
    <t>0812070175 </t>
  </si>
  <si>
    <t>prin.sat@student.mahidol.ac.th</t>
  </si>
  <si>
    <t>PARIN</t>
  </si>
  <si>
    <t>SEWAMONTREE</t>
  </si>
  <si>
    <t>0893209190 </t>
  </si>
  <si>
    <t>parin.sew@student.mahidol.ac.th</t>
  </si>
  <si>
    <t>CHARAN</t>
  </si>
  <si>
    <t>SIRIJATURONTCHAI</t>
  </si>
  <si>
    <t>0813517431 </t>
  </si>
  <si>
    <t>charan.sir@student.mahidol.ac.th</t>
  </si>
  <si>
    <t>NON</t>
  </si>
  <si>
    <t>SOMBOONSAKDIKUL</t>
  </si>
  <si>
    <t>0859589632 </t>
  </si>
  <si>
    <t>non.som@student.mahidol.ac.th</t>
  </si>
  <si>
    <t>PITCHAPORN</t>
  </si>
  <si>
    <t>SONGPRAKOB</t>
  </si>
  <si>
    <t>0918873213 </t>
  </si>
  <si>
    <t>pitchaporn.son@student.mahidol.ac.th</t>
  </si>
  <si>
    <t>EAKDANAI</t>
  </si>
  <si>
    <t>SONTICHAI</t>
  </si>
  <si>
    <t>0891525222 </t>
  </si>
  <si>
    <t>eakdanai.son@student.mahidol.ac.th</t>
  </si>
  <si>
    <t>PUNYAPORN</t>
  </si>
  <si>
    <t>SRISUK</t>
  </si>
  <si>
    <t>0825566164 </t>
  </si>
  <si>
    <t>punyaporn.sri@student.mahidol.ac.th</t>
  </si>
  <si>
    <t>TAIICHI</t>
  </si>
  <si>
    <t>SUDO</t>
  </si>
  <si>
    <t>082-485-9797 </t>
  </si>
  <si>
    <t>taiichi.suo@student.mahidol.ac.th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</si>
  <si>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Screenshot%202023-05-31%20115958_TAIICHI%20SUDO.png</t>
  </si>
  <si>
    <t>KITCHAYUT</t>
  </si>
  <si>
    <t>SUPPASERT</t>
  </si>
  <si>
    <t>087-408-9300 </t>
  </si>
  <si>
    <t>kitchayut.sup@student.mahidol.ac.th</t>
  </si>
  <si>
    <t>PONGSAKORN</t>
  </si>
  <si>
    <t>TAYANUKORN</t>
  </si>
  <si>
    <t>0993902528 </t>
  </si>
  <si>
    <t>pongsakorn.tay@student.mahidol.ac.th</t>
  </si>
  <si>
    <t>THANAWIT</t>
  </si>
  <si>
    <t>THAMPAKORN</t>
  </si>
  <si>
    <t>0897624647 </t>
  </si>
  <si>
    <t>thanawit.thm@student.mahidol.ac.th</t>
  </si>
  <si>
    <t>MANANCHAYAPORN</t>
  </si>
  <si>
    <t>THAMSIRIPONG</t>
  </si>
  <si>
    <t>097-361-4515 </t>
  </si>
  <si>
    <t>mananchayaporn.tha@student.mahidol.ac.th</t>
  </si>
  <si>
    <t>NATCHAYA</t>
  </si>
  <si>
    <t>THONGPAKDEE</t>
  </si>
  <si>
    <t>0922696225 </t>
  </si>
  <si>
    <t>natchaya.tho@student.mahidol.ac.th</t>
  </si>
  <si>
    <t>NITHINEE</t>
  </si>
  <si>
    <t>TRIRONNARITH</t>
  </si>
  <si>
    <t>095-509-8995 </t>
  </si>
  <si>
    <t>nithinee.tri@student.mahidol.ac.th</t>
  </si>
  <si>
    <t>TANYASIRI</t>
  </si>
  <si>
    <t>MEKINTARANGGOON</t>
  </si>
  <si>
    <t>0811871377 </t>
  </si>
  <si>
    <t>tanyasiri.mek@student.mahidol.ac.th</t>
  </si>
  <si>
    <t>KRITTINON</t>
  </si>
  <si>
    <t>WANGSUK</t>
  </si>
  <si>
    <t>0935805085 </t>
  </si>
  <si>
    <t>krittinon.wan@student.mahidol.ac.th</t>
  </si>
  <si>
    <t>PICHA</t>
  </si>
  <si>
    <t>WANICHAYAGOSOL</t>
  </si>
  <si>
    <t>0993804448 </t>
  </si>
  <si>
    <t>picha.wan@student.mahidol.ac.th</t>
  </si>
  <si>
    <t>DETBODI</t>
  </si>
  <si>
    <t>WETSIRIKUN</t>
  </si>
  <si>
    <t>0991603131 </t>
  </si>
  <si>
    <t>detbodi.wet@student.mahidol.ac.th</t>
  </si>
  <si>
    <t>ANYAMANEE</t>
  </si>
  <si>
    <t>AMATYAKUL</t>
  </si>
  <si>
    <t>0948964114 </t>
  </si>
  <si>
    <t>anyamanee.ama@student.mahidol.ac.th</t>
  </si>
  <si>
    <t>CHAIYASIT</t>
  </si>
  <si>
    <t>APIRAKKITIKUL</t>
  </si>
  <si>
    <t>0875848521 </t>
  </si>
  <si>
    <t>chaiyasit.api@student.mahidol.ac.th</t>
  </si>
  <si>
    <t>SARAT</t>
  </si>
  <si>
    <t>ARUNRAT</t>
  </si>
  <si>
    <t>Pass IELTS 5.5</t>
  </si>
  <si>
    <t>sarat.aru@student.mahidol.ac.th</t>
  </si>
  <si>
    <t>THACHAPHON</t>
  </si>
  <si>
    <t>ASSWAWAKAN</t>
  </si>
  <si>
    <t>0624514924 </t>
  </si>
  <si>
    <t>thachaphon.ass@student.mahidol.ac.th</t>
  </si>
  <si>
    <t>KANPITCHA</t>
  </si>
  <si>
    <t>ASSAWAVINIJKULCHAI</t>
  </si>
  <si>
    <t>0922546360 </t>
  </si>
  <si>
    <t>kanpitcha.ass@student.mahidol.ac.th</t>
  </si>
  <si>
    <t>WORAKAMOL</t>
  </si>
  <si>
    <t>CHAIVIRATANA</t>
  </si>
  <si>
    <t>0897737569 </t>
  </si>
  <si>
    <t>worakamol.cha@student.mahidol.ac.th</t>
  </si>
  <si>
    <t>NUTSONGWAT</t>
  </si>
  <si>
    <t>CHEAWKA</t>
  </si>
  <si>
    <t>0830879764 </t>
  </si>
  <si>
    <t>nutsongwat.cha@student.mahidol.ac.th</t>
  </si>
  <si>
    <t>SUPHAKORN</t>
  </si>
  <si>
    <t>CHANTHARA</t>
  </si>
  <si>
    <t>0955299514 </t>
  </si>
  <si>
    <t>suphakorn.cht@student.mahidol.ac.th</t>
  </si>
  <si>
    <t>NATTHACHAIMONGKOL</t>
  </si>
  <si>
    <t>CHAYOPATHUM</t>
  </si>
  <si>
    <t>0931760809 </t>
  </si>
  <si>
    <t>natthachaimongkol.cha@student.mahidol.ac.th</t>
  </si>
  <si>
    <t>NAPIDA</t>
  </si>
  <si>
    <t>CHONGCHAROENKIT</t>
  </si>
  <si>
    <t>0968609417 </t>
  </si>
  <si>
    <t>napida.cho@student.mahidol.ac.th</t>
  </si>
  <si>
    <t>SARIDA</t>
  </si>
  <si>
    <t>JANNUWAT</t>
  </si>
  <si>
    <t>sarida.jan@student.mahidol.ac.th</t>
  </si>
  <si>
    <t>KASIDIS</t>
  </si>
  <si>
    <t>CHOKPHAIBOON</t>
  </si>
  <si>
    <t>174-11-18</t>
  </si>
  <si>
    <t>0959637516 </t>
  </si>
  <si>
    <t>kasidis.cho@student.mahidol.ac.th</t>
  </si>
  <si>
    <t>PISITPONG</t>
  </si>
  <si>
    <t>0843845631 </t>
  </si>
  <si>
    <t>pisitpong.cho@student.mahidol.ac.th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</si>
  <si>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87550356-6B4C-460C-A9A8-DC5B36012CD4_PISITPONG%20CHONGCHARO.jpeg</t>
  </si>
  <si>
    <t>KITTITAD</t>
  </si>
  <si>
    <t>JIRAPRASITCHAI</t>
  </si>
  <si>
    <t>0621031991 </t>
  </si>
  <si>
    <t>kittitad.jir@student.mahidol.ac.th</t>
  </si>
  <si>
    <t>RACHATA</t>
  </si>
  <si>
    <t>CHOPDAMRONGTHAM</t>
  </si>
  <si>
    <t>0827131974 </t>
  </si>
  <si>
    <t>rachata.chp@student.mahidol.ac.th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</si>
  <si>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6288074_MU-ELT_RACHATA%20CHOPDAMRONGT.jpg</t>
  </si>
  <si>
    <t>PANTHITA</t>
  </si>
  <si>
    <t>DAMPHRAE</t>
  </si>
  <si>
    <t>panthita.dam@student.mahidol.ac.th</t>
  </si>
  <si>
    <t>RADCHAPOL</t>
  </si>
  <si>
    <t>EIANLENG</t>
  </si>
  <si>
    <t>0610121661 </t>
  </si>
  <si>
    <t>radchapol.ein@student.mahidol.ac.th</t>
  </si>
  <si>
    <t>WASIN</t>
  </si>
  <si>
    <t>HEESAWAT</t>
  </si>
  <si>
    <t>0846537222 </t>
  </si>
  <si>
    <t>wasin.hee@student.mahidol.ac.th</t>
  </si>
  <si>
    <t>KONTON</t>
  </si>
  <si>
    <t>HONGTHONG</t>
  </si>
  <si>
    <t>0864160054 </t>
  </si>
  <si>
    <t>konton.hon@student.mahidol.ac.th</t>
  </si>
  <si>
    <t>CHOLRAVEE</t>
  </si>
  <si>
    <t>KITTIMETHEE</t>
  </si>
  <si>
    <t xml:space="preserve">Mahidol University </t>
  </si>
  <si>
    <t>0635989055 </t>
  </si>
  <si>
    <t>cholravee.kit@student.mahidol.ac.th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</si>
  <si>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IMG20221031115214_CHOLRAVEE%20KITTIMETHE.jpg</t>
  </si>
  <si>
    <t>JARANUT</t>
  </si>
  <si>
    <t>LERTSIRIVORAKUL</t>
  </si>
  <si>
    <t>0863915952 </t>
  </si>
  <si>
    <t>jaranut.ler@student.mahidol.ac.th</t>
  </si>
  <si>
    <t>TAMAKORN</t>
  </si>
  <si>
    <t>JIAMRACHADA</t>
  </si>
  <si>
    <t>0963839985 </t>
  </si>
  <si>
    <t>tamakorn.jia@student.mahidol.ac.th</t>
  </si>
  <si>
    <t>WATTANACHAI</t>
  </si>
  <si>
    <t>JINTANAKRAN</t>
  </si>
  <si>
    <t>wattanachai.jin@student.mahidol.ac.th</t>
  </si>
  <si>
    <t>THANAPRON</t>
  </si>
  <si>
    <t>KHUNPROM</t>
  </si>
  <si>
    <t>0972656151 </t>
  </si>
  <si>
    <t>thanapron.khu@student.mahidol.ac.th</t>
  </si>
  <si>
    <t>JANE</t>
  </si>
  <si>
    <t>WATHANAYUNYONG</t>
  </si>
  <si>
    <t>0619614414 </t>
  </si>
  <si>
    <t>jane.wat@student.mahidol.ac.th</t>
  </si>
  <si>
    <t>WORAVUT</t>
  </si>
  <si>
    <t>NGERNKLAY</t>
  </si>
  <si>
    <t>0863672808 </t>
  </si>
  <si>
    <t>woravut.nge@student.mahidol.ac.th</t>
  </si>
  <si>
    <t>CHATCHAI</t>
  </si>
  <si>
    <t>KRAISORNSIN</t>
  </si>
  <si>
    <t>0823621823 </t>
  </si>
  <si>
    <t>chatchai.kri@student.mahidol.ac.th</t>
  </si>
  <si>
    <t>SUPAKARN</t>
  </si>
  <si>
    <t>LAORATTANAKUL</t>
  </si>
  <si>
    <t>0891748517 </t>
  </si>
  <si>
    <t>supakarn.lao@student.mahidol.ac.th</t>
  </si>
  <si>
    <t>NATTAPON</t>
  </si>
  <si>
    <t>LERTKIJROONGREUNG</t>
  </si>
  <si>
    <t>0830338963 </t>
  </si>
  <si>
    <t>nattapon.let@student.mahidol.ac.th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</si>
  <si>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Nattapon_MU-ELT_NATTAPON%20LERTKIJROON.png</t>
  </si>
  <si>
    <t>INTR-ORN</t>
  </si>
  <si>
    <t>LERTSUPAKITSIN</t>
  </si>
  <si>
    <t>0915498222 </t>
  </si>
  <si>
    <t>introrn.ler@student.mahidol.ac.th</t>
  </si>
  <si>
    <t>ARNON</t>
  </si>
  <si>
    <t>NOONKHAN</t>
  </si>
  <si>
    <t>0846215666 </t>
  </si>
  <si>
    <t>arnon.noo@student.mahidol.ac.th</t>
  </si>
  <si>
    <t>NAPATSAWAN</t>
  </si>
  <si>
    <t>PHUNGPHOL</t>
  </si>
  <si>
    <t>0805893939 </t>
  </si>
  <si>
    <t>napatsawan.phu@student.mahidol.ac.th</t>
  </si>
  <si>
    <t>CHANCHEEP</t>
  </si>
  <si>
    <t>MAHACHAROENSUK</t>
  </si>
  <si>
    <t>0914464197 </t>
  </si>
  <si>
    <t>chancheep.mah@student.mahidol.ac.th</t>
  </si>
  <si>
    <t>THANAKRIT</t>
  </si>
  <si>
    <t>MANEESAWAS</t>
  </si>
  <si>
    <t>0929956707 </t>
  </si>
  <si>
    <t>thanakrit.man@student.mahidol.ac.th</t>
  </si>
  <si>
    <t>SAHAPOL</t>
  </si>
  <si>
    <t>MEECHUNUKE</t>
  </si>
  <si>
    <t>0611788777;0817020020 </t>
  </si>
  <si>
    <t>sahapol.mee@student.mahidol.ac.th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</si>
  <si>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B4164502-9C30-4E1F-A3DB-839F7E494F1D_SAHAPOL%20MEECHUNUKE.jpeg</t>
  </si>
  <si>
    <t>PHUWANAT</t>
  </si>
  <si>
    <t>MEEYUTEM</t>
  </si>
  <si>
    <t>0899894908 </t>
  </si>
  <si>
    <t>phuwanat.mee@student.mahidol.ac.th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</si>
  <si>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F2F77A5B-4C0E-4604-878C-CB15B57F1FBD_PHUWANAT%20MEEYUTEM.jpeg</t>
  </si>
  <si>
    <t>PHANTHAT</t>
  </si>
  <si>
    <t>OSATANON</t>
  </si>
  <si>
    <t>0851814446 </t>
  </si>
  <si>
    <t>phanthat.osa@student.mahidol.ac.th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</si>
  <si>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IMG_20220906_155831_PHANTHAT%20OSATANON.jpg</t>
  </si>
  <si>
    <t>PANUWAT</t>
  </si>
  <si>
    <t>NAMJAI</t>
  </si>
  <si>
    <t>0949760750 </t>
  </si>
  <si>
    <t>panuwat.nam@student.mahidol.ac.th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</si>
  <si>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8B17A3CC-7D11-4D42-BD5D-F98A2F0EFBE1_PANUWAT%20NAMJAI.jpeg</t>
  </si>
  <si>
    <t>NAWADOL</t>
  </si>
  <si>
    <t>KUCHAIPOOM</t>
  </si>
  <si>
    <t>0909862790 </t>
  </si>
  <si>
    <t>nawadol.kuc@student.mahidol.ac.th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</si>
  <si>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0C497708-0608-44D6-BF69-513D08949B5D_NAWADOL%20KUCHAIPOOM.jpeg</t>
  </si>
  <si>
    <t>KRITTITEE</t>
  </si>
  <si>
    <t>NILDAM</t>
  </si>
  <si>
    <t>0922564691 </t>
  </si>
  <si>
    <t>krittitee.nil@student.mahidol.ac.th</t>
  </si>
  <si>
    <t>SORANUN</t>
  </si>
  <si>
    <t>PAISANPONG</t>
  </si>
  <si>
    <t>0874865111 </t>
  </si>
  <si>
    <t>soranun.pai@student.mahidol.ac.th</t>
  </si>
  <si>
    <t>ATITIYA</t>
  </si>
  <si>
    <t>PAKDEEVANICH</t>
  </si>
  <si>
    <t>0942519701 </t>
  </si>
  <si>
    <t>atitiya.pak@student.mahidol.ac.th</t>
  </si>
  <si>
    <t>KRISSANAPONG</t>
  </si>
  <si>
    <t>PALAKHAM</t>
  </si>
  <si>
    <t>0887764223 </t>
  </si>
  <si>
    <t>krissanapong.pal@student.mahidol.ac.th</t>
  </si>
  <si>
    <t>NOPPARAT</t>
  </si>
  <si>
    <t>PENGSUK</t>
  </si>
  <si>
    <t>0926074909 </t>
  </si>
  <si>
    <t>nopparat.pen@student.mahidol.ac.th</t>
  </si>
  <si>
    <t>WAIPOP</t>
  </si>
  <si>
    <t>PERMPORNSKUL</t>
  </si>
  <si>
    <t>0919186101 </t>
  </si>
  <si>
    <t>waipop.per@student.mahidol.ac.th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</si>
  <si>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6288104_MUELT_Score_WAIPOP%20PERMPORNSKUL.pdf</t>
  </si>
  <si>
    <t>SIRAWIPA</t>
  </si>
  <si>
    <t>PHADUNGMOUNGTHONG</t>
  </si>
  <si>
    <t>0800425546 </t>
  </si>
  <si>
    <t>sirawipa.pha@student.mahidol.ac.th</t>
  </si>
  <si>
    <t>RAY</t>
  </si>
  <si>
    <t>PHONPANIT</t>
  </si>
  <si>
    <t>0863380652 </t>
  </si>
  <si>
    <t>ray.pho@student.mahidol.ac.th</t>
  </si>
  <si>
    <t>PIBOONPONGPUN</t>
  </si>
  <si>
    <t>0802855506 </t>
  </si>
  <si>
    <t>pongsakorn.pib@student.mahidol.ac.th</t>
  </si>
  <si>
    <t>NATTAPRAPA</t>
  </si>
  <si>
    <t>PINJARERN</t>
  </si>
  <si>
    <t>0987500198 </t>
  </si>
  <si>
    <t>nattaprapa.pin@student.mahidol.ac.th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</si>
  <si>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2D75596E-C21D-4A7F-ACA2-FB5910E107F7_NATTAPRAPA%20PINJARERN.jpeg</t>
  </si>
  <si>
    <t>PATTAMAPORN</t>
  </si>
  <si>
    <t>PONGPAEW</t>
  </si>
  <si>
    <t>0959499155 </t>
  </si>
  <si>
    <t>pattamaporn.pon@student.mahidol.ac.th</t>
  </si>
  <si>
    <t>SOMLUCKANA</t>
  </si>
  <si>
    <t>PIYAMAN</t>
  </si>
  <si>
    <t>0867526707 </t>
  </si>
  <si>
    <t>somluckana.piy@student.mahidol.ac.th</t>
  </si>
  <si>
    <t>PROM</t>
  </si>
  <si>
    <t>PROMPICHARN</t>
  </si>
  <si>
    <t>0945615249 </t>
  </si>
  <si>
    <t>prom.pro@student.mahidol.ac.th</t>
  </si>
  <si>
    <t>KANORKPON</t>
  </si>
  <si>
    <t>PONRACH</t>
  </si>
  <si>
    <t>0928242533 </t>
  </si>
  <si>
    <t>kanorkpon.pon@student.mahidol.ac.th</t>
  </si>
  <si>
    <t>TEETUS</t>
  </si>
  <si>
    <t>PRAMOTEPIPOP</t>
  </si>
  <si>
    <t>0819383080 </t>
  </si>
  <si>
    <t>teetus.pra@student.mahidol.ac.th</t>
  </si>
  <si>
    <t>RUNGRAWEE</t>
  </si>
  <si>
    <t>AKKARAPATTANAKOON</t>
  </si>
  <si>
    <t>0843422302 </t>
  </si>
  <si>
    <t>rungrawee.akk@student.mahidol.ac.th</t>
  </si>
  <si>
    <t>NATTHAWAT</t>
  </si>
  <si>
    <t>RICHKAMROPH</t>
  </si>
  <si>
    <t>0818582271 </t>
  </si>
  <si>
    <t>natthawat.ric@student.mahidol.ac.th</t>
  </si>
  <si>
    <t>APISITH</t>
  </si>
  <si>
    <t>ROOPSOM</t>
  </si>
  <si>
    <t>0642079836 </t>
  </si>
  <si>
    <t>apisith.roo@student.mahidol.ac.th</t>
  </si>
  <si>
    <t>PAPHON</t>
  </si>
  <si>
    <t>SAE-WONG</t>
  </si>
  <si>
    <t>0632245800 </t>
  </si>
  <si>
    <t>paphon.sae@student.mahidol.ac.th</t>
  </si>
  <si>
    <t>SIRICHAI</t>
  </si>
  <si>
    <t>SAEYANG</t>
  </si>
  <si>
    <t>0974538899 </t>
  </si>
  <si>
    <t>sirichai.sae@student.mahidol.ac.th</t>
  </si>
  <si>
    <t>PIMPAVEE</t>
  </si>
  <si>
    <t>SAISAMORN</t>
  </si>
  <si>
    <t>0863641796 </t>
  </si>
  <si>
    <t>pimpavee.sai@student.mahidol.ac.th</t>
  </si>
  <si>
    <t>PEANGTEP</t>
  </si>
  <si>
    <t>SAEHENG</t>
  </si>
  <si>
    <t>0814925724 </t>
  </si>
  <si>
    <t>peangtep.sae@student.mahidol.ac.th</t>
  </si>
  <si>
    <t>LANLANA</t>
  </si>
  <si>
    <t>SANTIPAISARN</t>
  </si>
  <si>
    <t>0804340988 </t>
  </si>
  <si>
    <t>lanlana.san@student.mahidol.ac.th</t>
  </si>
  <si>
    <t>THANABOON</t>
  </si>
  <si>
    <t>SAPMONTREE</t>
  </si>
  <si>
    <t>0909919648 </t>
  </si>
  <si>
    <t>thanaboon.sap@student.mahidol.ac.th</t>
  </si>
  <si>
    <t>PANTAKORN</t>
  </si>
  <si>
    <t>SATHAPANASAKUL</t>
  </si>
  <si>
    <t>0814331086 </t>
  </si>
  <si>
    <t>pantakorn.sat@student.mahidol.ac.th</t>
  </si>
  <si>
    <t>SARANCHAI</t>
  </si>
  <si>
    <t>SUTTISAN</t>
  </si>
  <si>
    <t>saranchai.sut@student.mahidol.ac.th</t>
  </si>
  <si>
    <t>TASHA</t>
  </si>
  <si>
    <t>SETTEWONG</t>
  </si>
  <si>
    <t>0943353131 </t>
  </si>
  <si>
    <t>tasha.set@student.mahidol.ac.th</t>
  </si>
  <si>
    <t>PATTADON</t>
  </si>
  <si>
    <t>SINGHAJAN</t>
  </si>
  <si>
    <t>0982626327 </t>
  </si>
  <si>
    <t>pattadon.sin@student.mahidol.ac.th</t>
  </si>
  <si>
    <t>DONLAWAT</t>
  </si>
  <si>
    <t>SASAWATTECHA</t>
  </si>
  <si>
    <t>0909120013 </t>
  </si>
  <si>
    <t>donlawat.saa@student.mahidol.ac.th</t>
  </si>
  <si>
    <t>PANPAPORN</t>
  </si>
  <si>
    <t>SIRICHARTWONG</t>
  </si>
  <si>
    <t>0939894154 </t>
  </si>
  <si>
    <t>panpaporn.sir@student.mahidol.ac.th</t>
  </si>
  <si>
    <t>AKKARAPONG</t>
  </si>
  <si>
    <t>SIRILERTSOONTORN</t>
  </si>
  <si>
    <t>0961985982 </t>
  </si>
  <si>
    <t>akkarapong.sir@student.mahidol.ac.th</t>
  </si>
  <si>
    <t>PATHTITA</t>
  </si>
  <si>
    <t>SOMBOONYINGSUK</t>
  </si>
  <si>
    <t>0972359505 </t>
  </si>
  <si>
    <t>Patthita.som@student.mahidol.ac.th</t>
  </si>
  <si>
    <t>ARAYA</t>
  </si>
  <si>
    <t>SRIKAEW</t>
  </si>
  <si>
    <t>0902197175 </t>
  </si>
  <si>
    <t>araya.srk@student.mahidol.ac.th</t>
  </si>
  <si>
    <t>KANTAPON</t>
  </si>
  <si>
    <t>SRIGADPHACH</t>
  </si>
  <si>
    <t>0804278304 </t>
  </si>
  <si>
    <t>kantapon.sri@student.mahidol.ac.th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</si>
  <si>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Kantapon_MU-ELT_KANTAPON%20SRIGADPHACH.pdf</t>
  </si>
  <si>
    <t>RATHAKIT</t>
  </si>
  <si>
    <t>SRIPRACHAYANUN</t>
  </si>
  <si>
    <t>0878281711 </t>
  </si>
  <si>
    <t>rathakit.sri@student.mahidol.ac.th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</si>
  <si>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0831A010-1FB2-4CCF-8837-91B4B6184F5C_RATHAKIT%20SRIPRACHAYA.jpeg</t>
  </si>
  <si>
    <t>WISH</t>
  </si>
  <si>
    <t>SUCHALERMKUL</t>
  </si>
  <si>
    <t>0868280007 </t>
  </si>
  <si>
    <t>wish.suc@student.mahidol.ac.th</t>
  </si>
  <si>
    <t>SUTTHIWONG</t>
  </si>
  <si>
    <t>0948147655 </t>
  </si>
  <si>
    <t>napat.sut@student.mahidol.ac.th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</si>
  <si>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16752387423857580251064397737234_NAPAT%20SUTTHIWONG.jpg</t>
  </si>
  <si>
    <t>CHAYAPHOL</t>
  </si>
  <si>
    <t>TANGNITITHAM</t>
  </si>
  <si>
    <t>0851189378 </t>
  </si>
  <si>
    <t>chayaphol.tan@student.mahidol.ac.th</t>
  </si>
  <si>
    <t>JIRAWAT</t>
  </si>
  <si>
    <t>SRITHAYARAT</t>
  </si>
  <si>
    <t>0819306388 </t>
  </si>
  <si>
    <t>jirawat.srt@student.mahidol.ac.th</t>
  </si>
  <si>
    <t>PANNATORN</t>
  </si>
  <si>
    <t>THANOMNUAN</t>
  </si>
  <si>
    <t>0971515951 </t>
  </si>
  <si>
    <t>pannatorn.tha@student.mahidol.ac.th</t>
  </si>
  <si>
    <t>PHICHIT</t>
  </si>
  <si>
    <t>VECHKULTUMRONG</t>
  </si>
  <si>
    <t>0957098901 </t>
  </si>
  <si>
    <t>phichit.vec@student.mahidol.ac.th</t>
  </si>
  <si>
    <t>VIRALDA</t>
  </si>
  <si>
    <t>VIRIYASAKDAKUL</t>
  </si>
  <si>
    <t>viralda.vir@student.mahidol.ac.th</t>
  </si>
  <si>
    <t>BOONYAPAT</t>
  </si>
  <si>
    <t>SUKOSIT</t>
  </si>
  <si>
    <t>0878031401 </t>
  </si>
  <si>
    <t>boonyapat.suk@student.mahidol.ac.th</t>
  </si>
  <si>
    <t>PASAKORN</t>
  </si>
  <si>
    <t>WONGTALA</t>
  </si>
  <si>
    <t>0922482543 </t>
  </si>
  <si>
    <t>pasakorn.won@student.mahidol.ac.th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</si>
  <si>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TOEICScore_6288144_PASAKORN%20WONGTALA.jpg</t>
  </si>
  <si>
    <t>THANWARAT</t>
  </si>
  <si>
    <t>WONGTHONGTHAM</t>
  </si>
  <si>
    <t>0945524349 </t>
  </si>
  <si>
    <t>thanwarat.wog@student.mahidol.ac.th</t>
  </si>
  <si>
    <t>PANNATHUT</t>
  </si>
  <si>
    <t>YUTTAVISUT</t>
  </si>
  <si>
    <t>0982468934 </t>
  </si>
  <si>
    <t>pannathut.yut@student.mahidol.ac.th</t>
  </si>
  <si>
    <t>NAWAPHORN</t>
  </si>
  <si>
    <t>SUNTHONWUTTHIKAI</t>
  </si>
  <si>
    <t>0842351542 </t>
  </si>
  <si>
    <t>nawaphorn.sut@student.mahidol.ac.th</t>
  </si>
  <si>
    <t>SIVAT</t>
  </si>
  <si>
    <t>SUPASUK</t>
  </si>
  <si>
    <t>0923801616 </t>
  </si>
  <si>
    <t>sivat.sup@student.mahidol.ac.th</t>
  </si>
  <si>
    <t>CHANON</t>
  </si>
  <si>
    <t>TANGRATTANASOPHON</t>
  </si>
  <si>
    <t>0877619878 </t>
  </si>
  <si>
    <t>chanon.tag@student.mahidol.ac.th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</si>
  <si>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3D0CA8C5-E52F-42D1-9B1A-A24406C4A1F9_CHANON%20TANGRATTANASO.jpeg</t>
  </si>
  <si>
    <t>NICHAWEE</t>
  </si>
  <si>
    <t>TREEPRATEEPSILP</t>
  </si>
  <si>
    <t>0922808948 </t>
  </si>
  <si>
    <t>nichawee.tre@student.mahidol.ac.th</t>
  </si>
  <si>
    <t>KITTIPOJ</t>
  </si>
  <si>
    <t>TUNTANET</t>
  </si>
  <si>
    <t>0971302039 </t>
  </si>
  <si>
    <t>kittipoj.tun@student.mahidol.ac.th</t>
  </si>
  <si>
    <t>CHONNIKARN</t>
  </si>
  <si>
    <t>WAVEMANEE</t>
  </si>
  <si>
    <t>0860057327 </t>
  </si>
  <si>
    <t>chonnikarn.wav@student.mahidol.ac.th</t>
  </si>
  <si>
    <t>SUCHANYA</t>
  </si>
  <si>
    <t>KAEWSOMBOON</t>
  </si>
  <si>
    <t>0659453897 </t>
  </si>
  <si>
    <t>suchanya.kae@student.mahidol.ac.th</t>
  </si>
  <si>
    <t>SUCHANUN</t>
  </si>
  <si>
    <t>SATANUNTIPHAT</t>
  </si>
  <si>
    <t>0842874747 </t>
  </si>
  <si>
    <t>suchanun.sat@student.mahidol.ac.th</t>
  </si>
  <si>
    <t>SUPANSA</t>
  </si>
  <si>
    <t>SAE-TERN</t>
  </si>
  <si>
    <t>0896691179 </t>
  </si>
  <si>
    <t>supansa.sae@student.mahidol.ac.th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</si>
  <si>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502665D6-E424-458F-AE42-09C96E3FC54F_SUPANSA%20SAE-TERN.jpeg</t>
  </si>
  <si>
    <t>SIRADA</t>
  </si>
  <si>
    <t>VITOONVARAKORN</t>
  </si>
  <si>
    <t>0824559242 </t>
  </si>
  <si>
    <t>sirada.vit@student.mahidol.ac.th</t>
  </si>
  <si>
    <t>TANUPHON</t>
  </si>
  <si>
    <t>0886462999 </t>
  </si>
  <si>
    <t>eakdanai.tan@student.mahidol.ac.th</t>
  </si>
  <si>
    <t>TRISIRI</t>
  </si>
  <si>
    <t>CHANDAINIDARA</t>
  </si>
  <si>
    <t>0955699713 </t>
  </si>
  <si>
    <t>trisiri.cha@student.mahidol.ac.th</t>
  </si>
  <si>
    <t>KANOKSING</t>
  </si>
  <si>
    <t>CHAOWANA</t>
  </si>
  <si>
    <t>kanoksing.cha@student.mahidol.ac.th</t>
  </si>
  <si>
    <t>KANTAPONG</t>
  </si>
  <si>
    <t>MATANGKARAT</t>
  </si>
  <si>
    <t>0805790115 </t>
  </si>
  <si>
    <t>kantapong.mat@student.mahidol.ac.th</t>
  </si>
  <si>
    <t>KANISORN</t>
  </si>
  <si>
    <t>SA-NGUANSOOK</t>
  </si>
  <si>
    <t>0909925975 </t>
  </si>
  <si>
    <t>kanisorn.san@student.mahidol.ac.th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</si>
  <si>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BCC15245-BCF0-4D2A-B4EC-6F2D6D3293DA_KANISORN%20SA-NGUANSOO.jpeg</t>
  </si>
  <si>
    <t>KHIMHAN</t>
  </si>
  <si>
    <t>BUNDA</t>
  </si>
  <si>
    <t>khimhan.bun@student.mahidol.ac.th</t>
  </si>
  <si>
    <t>JIRAMED</t>
  </si>
  <si>
    <t>JAMJONGDAMRONGKIT</t>
  </si>
  <si>
    <t>0971427171 </t>
  </si>
  <si>
    <t>jiramed.jam@student.mahidol.ac.th</t>
  </si>
  <si>
    <t>JIRAYUS</t>
  </si>
  <si>
    <t>SUNTAROPAS</t>
  </si>
  <si>
    <t>0982560302 </t>
  </si>
  <si>
    <t>jirayus.sun@student.mahidol.ac.th</t>
  </si>
  <si>
    <t>JIWASA</t>
  </si>
  <si>
    <t>SOMPHAOJAN</t>
  </si>
  <si>
    <t>jiwasa.som@student.mahidol.ac.th</t>
  </si>
  <si>
    <t>HOJITSIRIYANON</t>
  </si>
  <si>
    <t>0635949777 </t>
  </si>
  <si>
    <t>chatchai.hoj@student.mahidol.ac.th</t>
  </si>
  <si>
    <t>CHITCHAYA</t>
  </si>
  <si>
    <t>DUANGTANAWAT</t>
  </si>
  <si>
    <t>0818347926 </t>
  </si>
  <si>
    <t>chitchaya.dua@student.mahidol.ac.th</t>
  </si>
  <si>
    <t>NUTCHANON</t>
  </si>
  <si>
    <t>RAGCHART</t>
  </si>
  <si>
    <t>0649416329 </t>
  </si>
  <si>
    <t>nutchanon.rag@student.mahidol.ac.th</t>
  </si>
  <si>
    <t>NATNICHA</t>
  </si>
  <si>
    <t>TUNGSAWATDUMRONG</t>
  </si>
  <si>
    <t>natnicha.tun@student.mahidol.ac.th</t>
  </si>
  <si>
    <t>NATTAPAT</t>
  </si>
  <si>
    <t>THANEE</t>
  </si>
  <si>
    <t>nattapat.thn@student.mahidol.ac.th</t>
  </si>
  <si>
    <t>NATPICHSINEE</t>
  </si>
  <si>
    <t>PUTTIWARODOM</t>
  </si>
  <si>
    <t>0835415624 </t>
  </si>
  <si>
    <t>natpichsinee.put@student.mahidol.ac.th</t>
  </si>
  <si>
    <t>NICHAPAT</t>
  </si>
  <si>
    <t>KOMJIT</t>
  </si>
  <si>
    <t>0933213848 </t>
  </si>
  <si>
    <t>nichapat.kom@student.mahidol.ac.th</t>
  </si>
  <si>
    <t>TAWANCHAI</t>
  </si>
  <si>
    <t>MANEEON</t>
  </si>
  <si>
    <t>0989984097 </t>
  </si>
  <si>
    <t>tawanchai.man@student.mahidol.ac.th</t>
  </si>
  <si>
    <t>THIPWARIN</t>
  </si>
  <si>
    <t>CHOTCHAWA</t>
  </si>
  <si>
    <t>0910862193 </t>
  </si>
  <si>
    <t>thipwarin.cho@student.mahidol.ac.th</t>
  </si>
  <si>
    <t>THEERAWAT</t>
  </si>
  <si>
    <t>SANOI</t>
  </si>
  <si>
    <t>0917398302 </t>
  </si>
  <si>
    <t>theerawat.san@student.mahidol.ac.th</t>
  </si>
  <si>
    <t>NOPPANANT</t>
  </si>
  <si>
    <t>BORKAEWSUBDEE</t>
  </si>
  <si>
    <t>noppanant.bor@student.mahidol.ac.th</t>
  </si>
  <si>
    <t>NARAVIT</t>
  </si>
  <si>
    <t>UNGKASURAPHAN</t>
  </si>
  <si>
    <t>0867922177 </t>
  </si>
  <si>
    <t>naravit.ung@student.mahidol.ac.th</t>
  </si>
  <si>
    <t>PITCHAPOL</t>
  </si>
  <si>
    <t>THAPPETCH</t>
  </si>
  <si>
    <t>0836355956 </t>
  </si>
  <si>
    <t>pitchapol.tha@student.mahidol.ac.th</t>
  </si>
  <si>
    <t>PAKIN</t>
  </si>
  <si>
    <t>CHUNTHONG</t>
  </si>
  <si>
    <t>0988301678 </t>
  </si>
  <si>
    <t>pakin.chu@student.mahidol.ac.th</t>
  </si>
  <si>
    <t>RUJIKORN</t>
  </si>
  <si>
    <t>YEAMAPICHARD</t>
  </si>
  <si>
    <t>0639815539 </t>
  </si>
  <si>
    <t>rujikorn.yea@student.mahidol.ac.th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</si>
  <si>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Screenshot_2023-05-19-10-59-51-053_com.facebo_RUJIKORN%20YEAMAPICHAR.jpg</t>
  </si>
  <si>
    <t>VARACHIT</t>
  </si>
  <si>
    <t>WIRUNPAT</t>
  </si>
  <si>
    <t>varachit.wir@student.mahidol.ac.th</t>
  </si>
  <si>
    <t>VIPHOB</t>
  </si>
  <si>
    <t>LERTKULTHUM</t>
  </si>
  <si>
    <t>0817552345 </t>
  </si>
  <si>
    <t>viphob.ler@student.mahidol.ac.th</t>
  </si>
  <si>
    <t>SARAN</t>
  </si>
  <si>
    <t>JEARAWATTANAKUL</t>
  </si>
  <si>
    <t>0988906516 </t>
  </si>
  <si>
    <t>saran.jea@student.mahidol.ac.th</t>
  </si>
  <si>
    <t>SUPITSARA</t>
  </si>
  <si>
    <t>SAREECAM</t>
  </si>
  <si>
    <t>0819541139 </t>
  </si>
  <si>
    <t>supitsara.sar@student.mahidol.ac.th</t>
  </si>
  <si>
    <t>SITTHA</t>
  </si>
  <si>
    <t>LIMPANICH</t>
  </si>
  <si>
    <t>0958848797 </t>
  </si>
  <si>
    <t>sittha.lim@student.mahidol.ac.th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</si>
  <si>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1542FF52-D9FA-4DAE-ACD2-FF73400C045F_SITTHA%20LIMPANICH.jpeg</t>
  </si>
  <si>
    <t>PRATEEPTHINTONG</t>
  </si>
  <si>
    <t>0991945946 </t>
  </si>
  <si>
    <t>araya.pra@student.mahidol.ac.th</t>
  </si>
  <si>
    <t>ZIMING</t>
  </si>
  <si>
    <t>GAO</t>
  </si>
  <si>
    <t>095-2524720 </t>
  </si>
  <si>
    <t>ziming.gao@student.mahidol.ac.th</t>
  </si>
  <si>
    <t>BOLUN</t>
  </si>
  <si>
    <t>HUANG</t>
  </si>
  <si>
    <t>092-3237521 </t>
  </si>
  <si>
    <t>bolun.hua@student.mahidol.ac.th</t>
  </si>
  <si>
    <t>JILIN</t>
  </si>
  <si>
    <t>LI</t>
  </si>
  <si>
    <t>091-8861375 </t>
  </si>
  <si>
    <t>jilin.li@student.mahidol.ac.th</t>
  </si>
  <si>
    <t>SHAN</t>
  </si>
  <si>
    <t>064-1978967 </t>
  </si>
  <si>
    <t>shan.li@student.mahidol.ac.th</t>
  </si>
  <si>
    <t>YUETING</t>
  </si>
  <si>
    <t>LIU</t>
  </si>
  <si>
    <t>095-2520690 </t>
  </si>
  <si>
    <t>yueting.liu@student.mahidol.ac.th</t>
  </si>
  <si>
    <t>ZHIYUAN</t>
  </si>
  <si>
    <t>095-5093514 </t>
  </si>
  <si>
    <t>zhiyuan.liu@student.mahidol.ac.th</t>
  </si>
  <si>
    <t>FUSHAN</t>
  </si>
  <si>
    <t>LUO</t>
  </si>
  <si>
    <t>095-5603720 </t>
  </si>
  <si>
    <t>fushan.luo@student.mahidol.ac.th</t>
  </si>
  <si>
    <t>YUANFANG</t>
  </si>
  <si>
    <t>MA</t>
  </si>
  <si>
    <t>083-6072701 </t>
  </si>
  <si>
    <t>yuanfang.ma@student.mahidol.ac.th</t>
  </si>
  <si>
    <t>YU</t>
  </si>
  <si>
    <t>WANG</t>
  </si>
  <si>
    <t>083-6074296 </t>
  </si>
  <si>
    <t>yu.wan@student.mahidol.ac.th</t>
  </si>
  <si>
    <t>LUXI</t>
  </si>
  <si>
    <t>XIE</t>
  </si>
  <si>
    <t>083-4780905 </t>
  </si>
  <si>
    <t>luxi.xie@student.mahidol.ac.th</t>
  </si>
  <si>
    <t>HAOWEN</t>
  </si>
  <si>
    <t>YANG</t>
  </si>
  <si>
    <t>095-2470547 </t>
  </si>
  <si>
    <t>haowen.yan@student.mahidol.ac.th</t>
  </si>
  <si>
    <t>YUANQIN</t>
  </si>
  <si>
    <t>083-6077463 </t>
  </si>
  <si>
    <t>yuanqin.yan@student.mahidol.ac.th</t>
  </si>
  <si>
    <t>YAXI</t>
  </si>
  <si>
    <t>ZHAO</t>
  </si>
  <si>
    <t>yaxi.zha@student.mahidol.ac.th</t>
  </si>
  <si>
    <t>ZIXI</t>
  </si>
  <si>
    <t>ZHOU</t>
  </si>
  <si>
    <t>zixi.zho@student.mahidol.ac.th</t>
  </si>
  <si>
    <t>NITAYASIT</t>
  </si>
  <si>
    <t>CHATREEWUDTICHAI</t>
  </si>
  <si>
    <t>0910512780 </t>
  </si>
  <si>
    <t>nitayasit.cha@student.mahidol.ac.th</t>
  </si>
  <si>
    <t>PAVEENA</t>
  </si>
  <si>
    <t>HONGITTHIPORN</t>
  </si>
  <si>
    <t>0824822142 </t>
  </si>
  <si>
    <t>paveena.hon@student.mahidol.ac.th</t>
  </si>
  <si>
    <t>PANGKUL</t>
  </si>
  <si>
    <t>0625591459 </t>
  </si>
  <si>
    <t>napat.pag@student.mahidol.ac.th</t>
  </si>
  <si>
    <t>SIRACHAI</t>
  </si>
  <si>
    <t>PHUNGAM</t>
  </si>
  <si>
    <t>0944966645 </t>
  </si>
  <si>
    <t>sirachai.phu@student.mahidol.ac.th</t>
  </si>
  <si>
    <t>CHARNNARONG</t>
  </si>
  <si>
    <t>RITTISORNTANU</t>
  </si>
  <si>
    <t>0624844488 </t>
  </si>
  <si>
    <t>charnnarong.rit@student.mahidol.ac.th</t>
  </si>
  <si>
    <t>PORSUK</t>
  </si>
  <si>
    <t>RUNGARUNSRISUK</t>
  </si>
  <si>
    <t>0943277899 </t>
  </si>
  <si>
    <t>porsuk.run@student.mahidol.ac.th</t>
  </si>
  <si>
    <t>WUTTIPHONG</t>
  </si>
  <si>
    <t>SRISATANON</t>
  </si>
  <si>
    <t>wuttiphong.sri@student.mahidol.ac.th</t>
  </si>
  <si>
    <t>DEVEN</t>
  </si>
  <si>
    <t>TIWARI</t>
  </si>
  <si>
    <t>0917616632 </t>
  </si>
  <si>
    <t>deven.tiw@student.mahidol.ac.th</t>
  </si>
  <si>
    <t>PHUMTHAM</t>
  </si>
  <si>
    <t>AKKARASIRIWONG</t>
  </si>
  <si>
    <t>0818247882 </t>
  </si>
  <si>
    <t>phumtham.akk@student.mahidol.ac.th</t>
  </si>
  <si>
    <t>PHUTHANA</t>
  </si>
  <si>
    <t>AMPUNANT</t>
  </si>
  <si>
    <t>0954914164 </t>
  </si>
  <si>
    <t>phuthana.amp@student.mahidol.ac.th</t>
  </si>
  <si>
    <t>PHURIWAT</t>
  </si>
  <si>
    <t>ANGKOONDITTAPHONG</t>
  </si>
  <si>
    <t>0814239935 </t>
  </si>
  <si>
    <t>phuriwat.ang@student.mahidol.ac.th</t>
  </si>
  <si>
    <t>NIPPHIT</t>
  </si>
  <si>
    <t>APISITPUWAKUL</t>
  </si>
  <si>
    <t>0983634047 </t>
  </si>
  <si>
    <t>nipphit.api@student.mahidol.ac.th</t>
  </si>
  <si>
    <t>KORSAWAT</t>
  </si>
  <si>
    <t>BAISEEJUANG</t>
  </si>
  <si>
    <t>0943515359 </t>
  </si>
  <si>
    <t>korsawat.bai@student.mahidol.ac.th</t>
  </si>
  <si>
    <t>THIPSUPHA</t>
  </si>
  <si>
    <t>BANPHOTSUWAN</t>
  </si>
  <si>
    <t>0955865840 </t>
  </si>
  <si>
    <t>thipsupha.ban@student.mahidol.ac.th</t>
  </si>
  <si>
    <t>PROMUBSORN</t>
  </si>
  <si>
    <t>BOONROD</t>
  </si>
  <si>
    <t>0893817775, 036377506  </t>
  </si>
  <si>
    <t>promubsorn.boo@student.mahidol.ac.th</t>
  </si>
  <si>
    <t>KANYANUT</t>
  </si>
  <si>
    <t>BOSUWAN</t>
  </si>
  <si>
    <t>0932759996 </t>
  </si>
  <si>
    <t>kanyanut.bos@student.mahidol.ac.th</t>
  </si>
  <si>
    <t>RUNGPILIN</t>
  </si>
  <si>
    <t>ANANTATHANAVIT</t>
  </si>
  <si>
    <t>0627739494 </t>
  </si>
  <si>
    <t>runpilin.ana@student.mahidol.ac.th</t>
  </si>
  <si>
    <t>TEERAPAT</t>
  </si>
  <si>
    <t>BURASOTIKUL</t>
  </si>
  <si>
    <t>0971319232 </t>
  </si>
  <si>
    <t>teerapat.bur@student.mahidol.ac.th</t>
  </si>
  <si>
    <t>JIDAPA</t>
  </si>
  <si>
    <t>CHAOVANAPRICHA</t>
  </si>
  <si>
    <t>0892021912 </t>
  </si>
  <si>
    <t>jidapa.chv@student.mahidol.ac.th</t>
  </si>
  <si>
    <t>RUJIPHART</t>
  </si>
  <si>
    <t>CHARATVARAPHAN</t>
  </si>
  <si>
    <t>0954289449, 077284753  </t>
  </si>
  <si>
    <t>rujiphart.cha@student.mahidol.ac.th</t>
  </si>
  <si>
    <t>JOMCHAI</t>
  </si>
  <si>
    <t>CHONGTHANAKORN</t>
  </si>
  <si>
    <t>0965450945, 028788498  </t>
  </si>
  <si>
    <t>jomchai.cho@student.mahidol.ac.th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</si>
  <si>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D924EA9F-18CA-400A-9BE8-175FBADC82A6_JOMCHAI%20CHONGTHANAKO.jpeg</t>
  </si>
  <si>
    <t>WARIS</t>
  </si>
  <si>
    <t>DAMKHAM</t>
  </si>
  <si>
    <t>0639544447 </t>
  </si>
  <si>
    <t>waris.dam@student.mahidol.ac.th</t>
  </si>
  <si>
    <t>MAKORNTHAWAT EUGENE</t>
  </si>
  <si>
    <t>EMERY</t>
  </si>
  <si>
    <t>0905964154 </t>
  </si>
  <si>
    <t>makornthawat.eme@student.mahidol.ac.th</t>
  </si>
  <si>
    <t>THANAWATH</t>
  </si>
  <si>
    <t>HUAYHONGTHONG</t>
  </si>
  <si>
    <t>0910792395, 034146696  </t>
  </si>
  <si>
    <t>thanawath.hua@student.mahidol.ac.th</t>
  </si>
  <si>
    <t>JIRATT</t>
  </si>
  <si>
    <t>IMCHAROEN</t>
  </si>
  <si>
    <t>0631969115 </t>
  </si>
  <si>
    <t>jirat.imc@student.mahidol.ac.th</t>
  </si>
  <si>
    <t>CHARNWIT</t>
  </si>
  <si>
    <t>JANGJAROEN</t>
  </si>
  <si>
    <t>0990532111 </t>
  </si>
  <si>
    <t>charnwit.jan@student.mahidol.ac.th</t>
  </si>
  <si>
    <t>SORAWANAN</t>
  </si>
  <si>
    <t>JEAMJANTARASAKHON</t>
  </si>
  <si>
    <t>0830513905 </t>
  </si>
  <si>
    <t>sorawanan.jea@student.mahidol.ac.th</t>
  </si>
  <si>
    <t>CHALUMPHU</t>
  </si>
  <si>
    <t>ATJARIT</t>
  </si>
  <si>
    <t>0654208338 </t>
  </si>
  <si>
    <t>chalumphu.atj@student.mahidol.ac.th</t>
  </si>
  <si>
    <t>KANJANAPOO</t>
  </si>
  <si>
    <t>0949952116 </t>
  </si>
  <si>
    <t>thanawat.kaj@student.mahidol.ac.th</t>
  </si>
  <si>
    <t>PATTANAN</t>
  </si>
  <si>
    <t>KORKIATTRAKOOL</t>
  </si>
  <si>
    <t>0989727156, 024968021  </t>
  </si>
  <si>
    <t>pattanan.kor@student.mahidol.ac.th</t>
  </si>
  <si>
    <t>KONGKIET</t>
  </si>
  <si>
    <t>KUCHART</t>
  </si>
  <si>
    <t>0610935454 </t>
  </si>
  <si>
    <t>kongkiet.kuc@student.mahidol.ac.th</t>
  </si>
  <si>
    <t>PHIRADA</t>
  </si>
  <si>
    <t>KUNWATTANASUKSANTI</t>
  </si>
  <si>
    <t>0615958749, 024827508  </t>
  </si>
  <si>
    <t>phirada.kun@student.mahidol.ac.th</t>
  </si>
  <si>
    <t>KHAWKLA</t>
  </si>
  <si>
    <t>LAOHAKUL</t>
  </si>
  <si>
    <t>0863145733 </t>
  </si>
  <si>
    <t>khawkla.lao@student.mahidol.ac.th</t>
  </si>
  <si>
    <t>NOPPASIT</t>
  </si>
  <si>
    <t>LAOPOONPHOL</t>
  </si>
  <si>
    <t>0925426969 </t>
  </si>
  <si>
    <t>noppasit.lao@student.mahidol.ac.th</t>
  </si>
  <si>
    <t>LAPAMNUAYPOL</t>
  </si>
  <si>
    <t>0984105359, 029539117  </t>
  </si>
  <si>
    <t>jirayus.lap@student.mahidol.ac.th</t>
  </si>
  <si>
    <t>PONGPOP</t>
  </si>
  <si>
    <t>LAPVIKAI</t>
  </si>
  <si>
    <t>0824443856 </t>
  </si>
  <si>
    <t>pongpop.lap@student.mahidol.ac.th</t>
  </si>
  <si>
    <t>KITTAPON</t>
  </si>
  <si>
    <t>LERDPAYAB</t>
  </si>
  <si>
    <t>0819477881 </t>
  </si>
  <si>
    <t>kittapon.ler@student.mahidol.ac.th</t>
  </si>
  <si>
    <t>KULAWUT</t>
  </si>
  <si>
    <t>MAKKAMOLTHAM</t>
  </si>
  <si>
    <t>0868145697 </t>
  </si>
  <si>
    <t>kulawut.mak@student.mahidol.ac.th</t>
  </si>
  <si>
    <t>NUTAWAT</t>
  </si>
  <si>
    <t>BOONKHONG</t>
  </si>
  <si>
    <t>0853970198 </t>
  </si>
  <si>
    <t>nutawat.boo@student.mahidol.ac.th</t>
  </si>
  <si>
    <t>PRUKSA</t>
  </si>
  <si>
    <t>DANKITTIPONG</t>
  </si>
  <si>
    <t>0870567040 </t>
  </si>
  <si>
    <t>pruksa.dan@student.mahidol.ac.th</t>
  </si>
  <si>
    <t>NAWAT</t>
  </si>
  <si>
    <t>NGERN-ANANTAPORN</t>
  </si>
  <si>
    <t>0999193746 </t>
  </si>
  <si>
    <t>nawat.ngr@student.mahidol.ac.th</t>
  </si>
  <si>
    <t>PHICHAYUT</t>
  </si>
  <si>
    <t>NGOENNIM</t>
  </si>
  <si>
    <t>0990821512 </t>
  </si>
  <si>
    <t>phichayut.ngo@student.mahidol.ac.th</t>
  </si>
  <si>
    <t>CHANATIP</t>
  </si>
  <si>
    <t>DEEMEE</t>
  </si>
  <si>
    <t>0813204808 </t>
  </si>
  <si>
    <t>chanatip.dee@student.mahidol.ac.th</t>
  </si>
  <si>
    <t>PARUJEE</t>
  </si>
  <si>
    <t>PANGSRIUTHAI</t>
  </si>
  <si>
    <t>0811445825 </t>
  </si>
  <si>
    <t>parujee.pan@student.mahidol.ac.th</t>
  </si>
  <si>
    <t>JIRAPAT</t>
  </si>
  <si>
    <t>DEESARA</t>
  </si>
  <si>
    <t>0954870934 </t>
  </si>
  <si>
    <t>jirapat.dee@student.mahidol.ac.th</t>
  </si>
  <si>
    <t>WISARUT</t>
  </si>
  <si>
    <t>PHAMONPHAKDIPHISUT</t>
  </si>
  <si>
    <t>0981021020 </t>
  </si>
  <si>
    <t>wisarut.pha@student.mahidol.ac.th</t>
  </si>
  <si>
    <t>PHENGPHON</t>
  </si>
  <si>
    <t>0993346868 </t>
  </si>
  <si>
    <t>ariya.phe@student.mahidol.ac.th</t>
  </si>
  <si>
    <t>CHATKAWIN</t>
  </si>
  <si>
    <t>PHONGPAWARIT</t>
  </si>
  <si>
    <t>0890255369, 024436122  </t>
  </si>
  <si>
    <t>chatkawin.pho@student.mahidol.ac.th</t>
  </si>
  <si>
    <t>NARUPARN</t>
  </si>
  <si>
    <t>PHONGSARNARIYAKUL</t>
  </si>
  <si>
    <t>0897894323 </t>
  </si>
  <si>
    <t>naruparn.pho@student.mahidol.ac.th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</si>
  <si>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6388042_Duolingo%20English%20Test_NARUPARN%20PHONGSARNAR.pdf</t>
  </si>
  <si>
    <t>NOPPANAN</t>
  </si>
  <si>
    <t>PHINKLAO</t>
  </si>
  <si>
    <t>0632145994 </t>
  </si>
  <si>
    <t>noppanan.pin@student.mahidol.ac.th</t>
  </si>
  <si>
    <t>THANAT</t>
  </si>
  <si>
    <t>PLONGCHAROEN</t>
  </si>
  <si>
    <t>0992198322 </t>
  </si>
  <si>
    <t>thanat.plo@student.mahidol.ac.th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</si>
  <si>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MU-ELT_Thanat_THANAT%20PLONGCHAROEN.jpg</t>
  </si>
  <si>
    <t>BANTHITA</t>
  </si>
  <si>
    <t>POLAKARN</t>
  </si>
  <si>
    <t>0844611533 </t>
  </si>
  <si>
    <t>banthita.poa@student.mahidol.ac.th</t>
  </si>
  <si>
    <t>ROMPRANG</t>
  </si>
  <si>
    <t>EKTIN</t>
  </si>
  <si>
    <t>0841077500 </t>
  </si>
  <si>
    <t>romprang.ekt@student.mahidol.ac.th</t>
  </si>
  <si>
    <t>PHAWAT</t>
  </si>
  <si>
    <t>RITTARKANANONE</t>
  </si>
  <si>
    <t>0617045154, 020153331  </t>
  </si>
  <si>
    <t>phawat.rit@student.mahidol.ac.th</t>
  </si>
  <si>
    <t>LEENAWAT</t>
  </si>
  <si>
    <t>HONGLERDNAPAKUL</t>
  </si>
  <si>
    <t>0924254161 </t>
  </si>
  <si>
    <t>leenawat.hon@student.mahidol.ac.th</t>
  </si>
  <si>
    <t>THANAWICH</t>
  </si>
  <si>
    <t>INTOOPARIPAB</t>
  </si>
  <si>
    <t>0954154151 </t>
  </si>
  <si>
    <t>thanawich.int@student.mahidol.ac.th</t>
  </si>
  <si>
    <t>PUTIP</t>
  </si>
  <si>
    <t>SAENKHWA</t>
  </si>
  <si>
    <t>0966633578 </t>
  </si>
  <si>
    <t>putip.sae@student.mahidol.ac.th</t>
  </si>
  <si>
    <t>CHAVALIT</t>
  </si>
  <si>
    <t>SAVITTRAKUL</t>
  </si>
  <si>
    <t>0884577757 </t>
  </si>
  <si>
    <t>chavalit.sav@student.mahidol.ac.th</t>
  </si>
  <si>
    <t>RUNCHANA</t>
  </si>
  <si>
    <t>SEESUNG</t>
  </si>
  <si>
    <t>0982695401 </t>
  </si>
  <si>
    <t>runchana.see@student.mahidol.ac.th</t>
  </si>
  <si>
    <t>CHAYANIS</t>
  </si>
  <si>
    <t>SETTAPONG</t>
  </si>
  <si>
    <t>0945561712 </t>
  </si>
  <si>
    <t>chayanis.set@student.mahidol.ac.th</t>
  </si>
  <si>
    <t>BENYAPA</t>
  </si>
  <si>
    <t>JIKNOK</t>
  </si>
  <si>
    <t>0834685313 </t>
  </si>
  <si>
    <t>benyapa.jik@student.mahidol.ac.th</t>
  </si>
  <si>
    <t>DHAMMAWAT</t>
  </si>
  <si>
    <t>SIRIBUNCHAWAN</t>
  </si>
  <si>
    <t>0920929199 </t>
  </si>
  <si>
    <t>dhammawat.sir@student.mahidol.ac.th</t>
  </si>
  <si>
    <t>NOPPARWUT</t>
  </si>
  <si>
    <t>SIRISAWAT</t>
  </si>
  <si>
    <t>0888876767 </t>
  </si>
  <si>
    <t>nopparwut.sir@student.mahidol.ac.th</t>
  </si>
  <si>
    <t>PHAKRADA</t>
  </si>
  <si>
    <t>SOMWONG</t>
  </si>
  <si>
    <t>0837973669 </t>
  </si>
  <si>
    <t>phakrada.som@student.mahidol.ac.th</t>
  </si>
  <si>
    <t>KANOKPITCH</t>
  </si>
  <si>
    <t>SONGDECHAKAIVUT</t>
  </si>
  <si>
    <t>0825192323 </t>
  </si>
  <si>
    <t>kanokpitch.son@student.mahidol.ac.th</t>
  </si>
  <si>
    <t>SOOKJITSUMRAN</t>
  </si>
  <si>
    <t>0982603966 </t>
  </si>
  <si>
    <t>naphat.soo@student.mahidol.ac.th</t>
  </si>
  <si>
    <t>ATCHAYA</t>
  </si>
  <si>
    <t>SRIMONGKOLTHANA</t>
  </si>
  <si>
    <t>0851308592, 025037494  </t>
  </si>
  <si>
    <t>atchaya.sri@student.mahidol.ac.th</t>
  </si>
  <si>
    <t>NATTAPAS</t>
  </si>
  <si>
    <t>SUBHACHATURAS</t>
  </si>
  <si>
    <t>0875593968, 023987081  </t>
  </si>
  <si>
    <t>nattapas.sub@student.mahidol.ac.th</t>
  </si>
  <si>
    <t>ONANONG</t>
  </si>
  <si>
    <t>SUKPRASERT</t>
  </si>
  <si>
    <t>0942435005 </t>
  </si>
  <si>
    <t>onanong.sup@student.mahidol.ac.th</t>
  </si>
  <si>
    <t>NUTTAPAT</t>
  </si>
  <si>
    <t>SUMRANSILP</t>
  </si>
  <si>
    <t>0967182344, 029835121  </t>
  </si>
  <si>
    <t>nuttapat.sum@student.mahidol.ac.th</t>
  </si>
  <si>
    <t>KHUNATHIP</t>
  </si>
  <si>
    <t>SURAVANIT</t>
  </si>
  <si>
    <t>0993251216, 029655492  </t>
  </si>
  <si>
    <t>khunathip.sur@student.mahidol.ac.th</t>
  </si>
  <si>
    <t>SUPAKITT</t>
  </si>
  <si>
    <t>SUROJANAKUL</t>
  </si>
  <si>
    <t>0867742474 </t>
  </si>
  <si>
    <t>supakitt.sur@student.mahidol.ac.th</t>
  </si>
  <si>
    <t>CHANYANUD</t>
  </si>
  <si>
    <t>SUWANNIMIT</t>
  </si>
  <si>
    <t>0971081893, 028657593  </t>
  </si>
  <si>
    <t>chanyanud.suw@student.mahidol.ac.th</t>
  </si>
  <si>
    <t>CHATCHANON</t>
  </si>
  <si>
    <t>0841019000 </t>
  </si>
  <si>
    <t>chatchanon.tan@student.mahidol.ac.th</t>
  </si>
  <si>
    <t>DOUNGNAPAT</t>
  </si>
  <si>
    <t>THIANSUKONT</t>
  </si>
  <si>
    <t>0887524631 </t>
  </si>
  <si>
    <t>doungnapat.thi@student.mahidol.ac.th</t>
  </si>
  <si>
    <t>PROMPIRIYA</t>
  </si>
  <si>
    <t>THONGRUNGRATTANAKUL</t>
  </si>
  <si>
    <t>0831361801 </t>
  </si>
  <si>
    <t>prompiriya.tho@student.mahidol.ac.th</t>
  </si>
  <si>
    <t>LAPAS</t>
  </si>
  <si>
    <t>TIMDEE</t>
  </si>
  <si>
    <t>0655490944 </t>
  </si>
  <si>
    <t>lapas.tim@student.mahidol.ac.th</t>
  </si>
  <si>
    <t>NOPPAKORN</t>
  </si>
  <si>
    <t>JINDARAT</t>
  </si>
  <si>
    <t>0630515154 </t>
  </si>
  <si>
    <t>noppakorn.jin@student.mahidol.ac.th</t>
  </si>
  <si>
    <t>PIMMADA</t>
  </si>
  <si>
    <t>TULARAK</t>
  </si>
  <si>
    <t>0986706330, 075611287  </t>
  </si>
  <si>
    <t>pimmada.tul@student.mahidol.ac.th</t>
  </si>
  <si>
    <t>SINUT</t>
  </si>
  <si>
    <t>WATTANARPORN</t>
  </si>
  <si>
    <t>0827993922 </t>
  </si>
  <si>
    <t>sinut.wat@student.mahidol.ac.th</t>
  </si>
  <si>
    <t>THANTAMRONG</t>
  </si>
  <si>
    <t>JIRAPATTAMANEECHOT</t>
  </si>
  <si>
    <t>0882777065 </t>
  </si>
  <si>
    <t>thantamrong.jir@student.mahidol.ac.th</t>
  </si>
  <si>
    <t>ANON</t>
  </si>
  <si>
    <t>WICHITDITSAYANON</t>
  </si>
  <si>
    <t>0624125601 </t>
  </si>
  <si>
    <t>anon.wic@student.mahidol.ac.th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</si>
  <si>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3468B370-1E23-44E3-AA06-4F5640784191_ANON%20WICHITDITSAYANO.jpeg</t>
  </si>
  <si>
    <t>PHURITAT</t>
  </si>
  <si>
    <t>WIJITLUKSANA</t>
  </si>
  <si>
    <t>0612688036, 052011600  </t>
  </si>
  <si>
    <t>phuritat.wij@student.mahidol.ac.th</t>
  </si>
  <si>
    <t>PAPON</t>
  </si>
  <si>
    <t>JIRAWATTANAKUL</t>
  </si>
  <si>
    <t>0819876645 </t>
  </si>
  <si>
    <t>papon.jir@student.mahidol.ac.th</t>
  </si>
  <si>
    <t>SUPHAWIT</t>
  </si>
  <si>
    <t>XU</t>
  </si>
  <si>
    <t>0997359387 </t>
  </si>
  <si>
    <t>suphawit.xu@student.mahidol.ac.th</t>
  </si>
  <si>
    <t>RATANON</t>
  </si>
  <si>
    <t>KERDKANKAEW</t>
  </si>
  <si>
    <t>0630974942 </t>
  </si>
  <si>
    <t>ratanon.ker@student.mahidol.ac.th</t>
  </si>
  <si>
    <t>BOONYAPORN</t>
  </si>
  <si>
    <t>KHAMPANG</t>
  </si>
  <si>
    <t>0939518105 </t>
  </si>
  <si>
    <t>boonyaporn.kha@student.mahidol.ac.th</t>
  </si>
  <si>
    <t>TREEPHOB</t>
  </si>
  <si>
    <t>KHONKHAGEE</t>
  </si>
  <si>
    <t>0841110905 </t>
  </si>
  <si>
    <t>treephob.kho@student.mahidol.ac.th</t>
  </si>
  <si>
    <t>BHERABHIT</t>
  </si>
  <si>
    <t>KIATTISIRI</t>
  </si>
  <si>
    <t>0657091139 </t>
  </si>
  <si>
    <t>bherabhit.kia@student.mahidol.ac.th</t>
  </si>
  <si>
    <t>PANITI</t>
  </si>
  <si>
    <t>KIEATSOMPOP</t>
  </si>
  <si>
    <t>0955025214 </t>
  </si>
  <si>
    <t>paniti.kie@student.mahidol.ac.th</t>
  </si>
  <si>
    <t>RATHAPOL</t>
  </si>
  <si>
    <t>KITTIRUDEEKUL</t>
  </si>
  <si>
    <t>0817277273 </t>
  </si>
  <si>
    <t>rathapol.kit@student.mahidol.ac.th</t>
  </si>
  <si>
    <t>JIRAYU</t>
  </si>
  <si>
    <t>KLINUDOM</t>
  </si>
  <si>
    <t>0985358120 </t>
  </si>
  <si>
    <t>jirayu.kli@student.mahidol.ac.th</t>
  </si>
  <si>
    <t>PONGPAISIT</t>
  </si>
  <si>
    <t>KONCHAN</t>
  </si>
  <si>
    <t>0941546924 </t>
  </si>
  <si>
    <t>pongpaisit.kon@student.mahidol.ac.th</t>
  </si>
  <si>
    <t>CHANISARA</t>
  </si>
  <si>
    <t>KOTRACHAI</t>
  </si>
  <si>
    <t>0990461117 </t>
  </si>
  <si>
    <t>chanisara.kot@student.mahidol.ac.th</t>
  </si>
  <si>
    <t>KUMNERDPUN</t>
  </si>
  <si>
    <t>0858564860 </t>
  </si>
  <si>
    <t>paveena.kum@student.mahidol.ac.th</t>
  </si>
  <si>
    <t>WANUS</t>
  </si>
  <si>
    <t>KURIRUNG</t>
  </si>
  <si>
    <t>0986019447 </t>
  </si>
  <si>
    <t>wanus.kur@student.mahidol.ac.th</t>
  </si>
  <si>
    <t>KAEWALIN</t>
  </si>
  <si>
    <t>LIMPREMWATTANA</t>
  </si>
  <si>
    <t>0949421244 </t>
  </si>
  <si>
    <t>kaewalin.lim@student.mahidol.ac.th</t>
  </si>
  <si>
    <t>NAPAWAN</t>
  </si>
  <si>
    <t>LUAMSAI</t>
  </si>
  <si>
    <t>0991154888 </t>
  </si>
  <si>
    <t>napawan.lua@student.mahidol.ac.th</t>
  </si>
  <si>
    <t>MUMKLANG</t>
  </si>
  <si>
    <t>0936415491 </t>
  </si>
  <si>
    <t>nattapong.mum@student.mahidol.ac.th</t>
  </si>
  <si>
    <t>NITIT</t>
  </si>
  <si>
    <t>NGAMPHOTCHANAMONGKOL</t>
  </si>
  <si>
    <t>0853400040 </t>
  </si>
  <si>
    <t>nitit.nga@student.mahidol.ac.th</t>
  </si>
  <si>
    <t>VIPAVEE</t>
  </si>
  <si>
    <t>NGAMYINGSURAT</t>
  </si>
  <si>
    <t>0957187345 </t>
  </si>
  <si>
    <t>vipavee.nga@student.mahidol.ac.th</t>
  </si>
  <si>
    <t>T-TOUCH</t>
  </si>
  <si>
    <t>PATTARAVARODOM</t>
  </si>
  <si>
    <t>0940031680 </t>
  </si>
  <si>
    <t>ttouch.pat@student.mahidol.ac.th</t>
  </si>
  <si>
    <t>SUPPANUT</t>
  </si>
  <si>
    <t>PHONPERMPOONTAWEE</t>
  </si>
  <si>
    <t>0917569931 </t>
  </si>
  <si>
    <t>suppanut.pho@student.mahidol.ac.th</t>
  </si>
  <si>
    <t>THANAKIJ</t>
  </si>
  <si>
    <t>PINYOBOON</t>
  </si>
  <si>
    <t>0818051258 </t>
  </si>
  <si>
    <t>thanakij.pin@student.mahidol.ac.th</t>
  </si>
  <si>
    <t>CHAYUT</t>
  </si>
  <si>
    <t>PIYAOSOTSUN</t>
  </si>
  <si>
    <t>0869884283 </t>
  </si>
  <si>
    <t>chayut.piy@student.mahidol.ac.th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</si>
  <si>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scanner_20220411_160517_CHAYUT%20PIYAOSOTSUN.jpg</t>
  </si>
  <si>
    <t>KANIN</t>
  </si>
  <si>
    <t>PRAKAIKOWIT</t>
  </si>
  <si>
    <t>0649799249 </t>
  </si>
  <si>
    <t>kanin.pra@student.mahidol.ac.th</t>
  </si>
  <si>
    <t>PHEERAPHAT</t>
  </si>
  <si>
    <t>PRISAN</t>
  </si>
  <si>
    <t>0957290212 </t>
  </si>
  <si>
    <t>pheeraphat.pri@student.mahidol.ac.th</t>
  </si>
  <si>
    <t>JITTIWAT</t>
  </si>
  <si>
    <t>SANIT</t>
  </si>
  <si>
    <t>0836164321 </t>
  </si>
  <si>
    <t>jittiwat.san@student.mahidol.ac.th</t>
  </si>
  <si>
    <t>NAPAHATAI</t>
  </si>
  <si>
    <t>SITTIRIT</t>
  </si>
  <si>
    <t>0876233088 </t>
  </si>
  <si>
    <t>napahatai.sit@student.mahidol.ac.th</t>
  </si>
  <si>
    <t>VIPHU</t>
  </si>
  <si>
    <t>SOPANAKITKOSOL</t>
  </si>
  <si>
    <t>0918656141 </t>
  </si>
  <si>
    <t>viphu.sop@student.mahidol.ac.th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</si>
  <si>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6388103_English_Proficiency_VIPHU%20SOPANAKITKOSOL.pdf</t>
  </si>
  <si>
    <t>PEERAWAT</t>
  </si>
  <si>
    <t>SOROSTHUNYAPONG</t>
  </si>
  <si>
    <t>0979945474 </t>
  </si>
  <si>
    <t>peerawat.sor@student.mahidol.ac.th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</si>
  <si>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AE99D099-38A4-4FD2-ABF5-BD46D56EF458_PEERAWAT%20SOROSTHUNYA.jpeg</t>
  </si>
  <si>
    <t>WIRAPORN</t>
  </si>
  <si>
    <t>SOTTHANA</t>
  </si>
  <si>
    <t>0825513195 </t>
  </si>
  <si>
    <t>wiraporn.sot@student.mahidol.ac.th</t>
  </si>
  <si>
    <t>NANTANAT</t>
  </si>
  <si>
    <t>SUDLAR</t>
  </si>
  <si>
    <t>0804598035 </t>
  </si>
  <si>
    <t>nantanat.sud@student.mahidol.ac.th</t>
  </si>
  <si>
    <t>KANAPON</t>
  </si>
  <si>
    <t>SUTHIWONGKORN</t>
  </si>
  <si>
    <t>0823288563 </t>
  </si>
  <si>
    <t>kanapon.sut@student.mahidol.ac.th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</si>
  <si>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6388107_KANAPON%20SUTHIWONGKOR.jpg</t>
  </si>
  <si>
    <t>TUN</t>
  </si>
  <si>
    <t>TERMTANARM</t>
  </si>
  <si>
    <t>0955168166 </t>
  </si>
  <si>
    <t>tun.ter@student.mahidol.ac.th</t>
  </si>
  <si>
    <t>SURAVICH</t>
  </si>
  <si>
    <t>THAMMAPATEE</t>
  </si>
  <si>
    <t>0909821946 </t>
  </si>
  <si>
    <t>suravich.tha@student.mahidol.ac.th</t>
  </si>
  <si>
    <t>PANNAVICH</t>
  </si>
  <si>
    <t>THANORMVONGSE</t>
  </si>
  <si>
    <t>0954610777 </t>
  </si>
  <si>
    <t>pannavich.tha@student.mahidol.ac.th</t>
  </si>
  <si>
    <t>SARAYUT</t>
  </si>
  <si>
    <t>THEERAUMPRONPUNT</t>
  </si>
  <si>
    <t>0805208182 </t>
  </si>
  <si>
    <t>sarayut.the@student.mahidol.ac.th</t>
  </si>
  <si>
    <t>THEETRAT</t>
  </si>
  <si>
    <t>THONGTHEP</t>
  </si>
  <si>
    <t>0955738444 </t>
  </si>
  <si>
    <t>theetrat.tho@student.mahidol.ac.th</t>
  </si>
  <si>
    <t>POOMRAPEE</t>
  </si>
  <si>
    <t>WAREEBOUTR</t>
  </si>
  <si>
    <t>0957704913 </t>
  </si>
  <si>
    <t>poomrapee.war@student.mahidol.ac.th</t>
  </si>
  <si>
    <t>RONAKRIT</t>
  </si>
  <si>
    <t>WATRONACHAI</t>
  </si>
  <si>
    <t>0952528948 </t>
  </si>
  <si>
    <t>ronakrit.wat@student.mahidol.ac.th</t>
  </si>
  <si>
    <t>NUBTHONG</t>
  </si>
  <si>
    <t>WORATHONG</t>
  </si>
  <si>
    <t>0945498685 </t>
  </si>
  <si>
    <t>nubthong.wor@student.mahidol.ac.th</t>
  </si>
  <si>
    <t>AKEKORN</t>
  </si>
  <si>
    <t>YORDSINGHA</t>
  </si>
  <si>
    <t>0863691098 </t>
  </si>
  <si>
    <t>akekorn.yor@student.mahidol.ac.th</t>
  </si>
  <si>
    <t>SIRANUT</t>
  </si>
  <si>
    <t>AKARAWUTHI</t>
  </si>
  <si>
    <t>0855259987 </t>
  </si>
  <si>
    <t>siranut.aka@student.mahidol.ac.th</t>
  </si>
  <si>
    <t>DANAIDECH</t>
  </si>
  <si>
    <t>ARDSAMAI</t>
  </si>
  <si>
    <t>0996395047 </t>
  </si>
  <si>
    <t>danaidech.ard@student.mahidol.ac.th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</si>
  <si>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Screenshot%202566-01-11%20at%2001.29.37_DANAIDECH%20ARDSAMAI.png</t>
  </si>
  <si>
    <t>KITTIPAT</t>
  </si>
  <si>
    <t>ARPANON</t>
  </si>
  <si>
    <t>0982460545 </t>
  </si>
  <si>
    <t>kittipat.arp@student.mahidol.ac.th</t>
  </si>
  <si>
    <t>KRITTAPAT</t>
  </si>
  <si>
    <t>DONSOM</t>
  </si>
  <si>
    <t>0909701384 </t>
  </si>
  <si>
    <t>krittapat.don@student.mahidol.ac.th</t>
  </si>
  <si>
    <t>WACHIRAWIT</t>
  </si>
  <si>
    <t>ARCHANACHAI</t>
  </si>
  <si>
    <t>0968761491 </t>
  </si>
  <si>
    <t>wachirawit.arc@student.mahidol.ac.th</t>
  </si>
  <si>
    <t>WARISA</t>
  </si>
  <si>
    <t>KONGSANTINART</t>
  </si>
  <si>
    <t>0950592641 </t>
  </si>
  <si>
    <t>warisa.kon@student.mahidol.ac.th</t>
  </si>
  <si>
    <t>KORNKANOK</t>
  </si>
  <si>
    <t>KOSOLSOMBAT</t>
  </si>
  <si>
    <t>0943310099 </t>
  </si>
  <si>
    <t>kornkanok.kos@student.mahidol.ac.th</t>
  </si>
  <si>
    <t>IZADA</t>
  </si>
  <si>
    <t>LERTANANTACHAI</t>
  </si>
  <si>
    <t>0623641306 </t>
  </si>
  <si>
    <t>izada.ler@student.mahidol.ac.th</t>
  </si>
  <si>
    <t>PHORNNAPAT</t>
  </si>
  <si>
    <t>BUDDHIVANICH</t>
  </si>
  <si>
    <t>0979898383 </t>
  </si>
  <si>
    <t>phornnapat.bud@student.mahidol.ac.th</t>
  </si>
  <si>
    <t>APICHAYA</t>
  </si>
  <si>
    <t>MANEEWONG</t>
  </si>
  <si>
    <t>0982461154 </t>
  </si>
  <si>
    <t>apichaya.mae@student.mahidol.ac.th</t>
  </si>
  <si>
    <t>PERAKORN</t>
  </si>
  <si>
    <t>NIMITKUL</t>
  </si>
  <si>
    <t>0877160033 </t>
  </si>
  <si>
    <t>perakorn.nim@student.mahidol.ac.th</t>
  </si>
  <si>
    <t>CHAROENRITTHITHAM</t>
  </si>
  <si>
    <t>0899228464 </t>
  </si>
  <si>
    <t>thanakorn.che@student.mahidol.ac.th</t>
  </si>
  <si>
    <t>SUPAWIT</t>
  </si>
  <si>
    <t>PHIMONJIT</t>
  </si>
  <si>
    <t>0930055697 </t>
  </si>
  <si>
    <t>supawit.phi@student.mahidol.ac.th</t>
  </si>
  <si>
    <t>THANNAREE</t>
  </si>
  <si>
    <t>PUANGTHONGTHANAREE</t>
  </si>
  <si>
    <t>0830048635 </t>
  </si>
  <si>
    <t>thannaree.pua@student.mahidol.ac.th</t>
  </si>
  <si>
    <t>SUPHACHOT</t>
  </si>
  <si>
    <t>RATCHAWORAPONG</t>
  </si>
  <si>
    <t>0870123174 </t>
  </si>
  <si>
    <t>suphachot.rat@student.mahidol.ac.th</t>
  </si>
  <si>
    <t>PAWARIS</t>
  </si>
  <si>
    <t>TECHAHONGSA</t>
  </si>
  <si>
    <t>0851158440 </t>
  </si>
  <si>
    <t>pawaris.tec@student.mahidol.ac.th</t>
  </si>
  <si>
    <t>PITCHAYA</t>
  </si>
  <si>
    <t>TEERAWONGPAIROJ</t>
  </si>
  <si>
    <t>0819266322 </t>
  </si>
  <si>
    <t>pitchaya.tee@student.mahidol.ac.th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</si>
  <si>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Duolingo%20English%20Test%206388133_PITCHAYA%20TEERAWONGPA.pdf</t>
  </si>
  <si>
    <t>SUTTHIPHON</t>
  </si>
  <si>
    <t>THANKAM</t>
  </si>
  <si>
    <t>0997746875 </t>
  </si>
  <si>
    <t>sutthiphon.tha@student.mahidol.ac.th</t>
  </si>
  <si>
    <t>THANABODEE</t>
  </si>
  <si>
    <t>0971393011 </t>
  </si>
  <si>
    <t>thanabodee.kae@student.mahidol.ac.th</t>
  </si>
  <si>
    <t>PHURICH</t>
  </si>
  <si>
    <t>KONGMONT</t>
  </si>
  <si>
    <t>0922490689 </t>
  </si>
  <si>
    <t>phurich.kon@student.mahidol.ac.th</t>
  </si>
  <si>
    <t>RAWEEBHAS</t>
  </si>
  <si>
    <t>PAIBOONWONG</t>
  </si>
  <si>
    <t>0971313020 </t>
  </si>
  <si>
    <t>raweebhas.pai@student.mahidol.ac.th</t>
  </si>
  <si>
    <t>PONGSAPAT</t>
  </si>
  <si>
    <t>0972169273 </t>
  </si>
  <si>
    <t>pongsapat.pit@student.mahidol.ac.th</t>
  </si>
  <si>
    <t>TAWANOAK</t>
  </si>
  <si>
    <t>RUEKVEERAWATTANA</t>
  </si>
  <si>
    <t>0917202538 </t>
  </si>
  <si>
    <t>tawanoak.rue@student.mahidol.ac.th</t>
  </si>
  <si>
    <t>KRISANAKORN</t>
  </si>
  <si>
    <t>RUGBUMROONG</t>
  </si>
  <si>
    <t>0944475803 </t>
  </si>
  <si>
    <t>krisanakorn.rug@student.mahidol.ac.th</t>
  </si>
  <si>
    <t>KRISSNAPHOL</t>
  </si>
  <si>
    <t>0991382807 </t>
  </si>
  <si>
    <t>krissnaphol.rug@student.mahidol.ac.th</t>
  </si>
  <si>
    <t>PRAPAKORN</t>
  </si>
  <si>
    <t>SAELIM</t>
  </si>
  <si>
    <t>0955515589 </t>
  </si>
  <si>
    <t>prapakorn.sae@student.mahidol.ac.th</t>
  </si>
  <si>
    <t>RATTANAN</t>
  </si>
  <si>
    <t>SIRIPIYAPHAT</t>
  </si>
  <si>
    <t>0861295999 </t>
  </si>
  <si>
    <t>rattanan.sir@student.mahidol.ac.th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</si>
  <si>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20220909_154149_RATTANAN%20SIRIPIYAPHA.jpg</t>
  </si>
  <si>
    <t>NUTCHAR</t>
  </si>
  <si>
    <t>SOMPAN</t>
  </si>
  <si>
    <t>0923848668 </t>
  </si>
  <si>
    <t>nutchar.som@student.mahidol.ac.th</t>
  </si>
  <si>
    <t>PANTAWUT</t>
  </si>
  <si>
    <t>SUTANAPHANIT</t>
  </si>
  <si>
    <t>0917123292 </t>
  </si>
  <si>
    <t>pantawut.sua@student.mahidol.ac.th</t>
  </si>
  <si>
    <t>ANUWAT</t>
  </si>
  <si>
    <t>MASSEM</t>
  </si>
  <si>
    <t>0902546752 </t>
  </si>
  <si>
    <t>anuwat.mas@student.mahidol.ac.th</t>
  </si>
  <si>
    <t>PUNYAWEE</t>
  </si>
  <si>
    <t>LERTPONGKASEM</t>
  </si>
  <si>
    <t xml:space="preserve">MAHIDOL UNIVERSITY </t>
  </si>
  <si>
    <t>0910465702 </t>
  </si>
  <si>
    <t>punyawee.let@student.mahidol.ac.th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</si>
  <si>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72441692-3C32-4604-A725-3BB7D8F8E78C_PUNYAWEE%20LERTPONGKAS.jpeg</t>
  </si>
  <si>
    <t>TANUTKORN</t>
  </si>
  <si>
    <t>PRAMUALMONGKON</t>
  </si>
  <si>
    <t>0838142184 </t>
  </si>
  <si>
    <t>tanutkorn.pra@student.mahidol.ac.th</t>
  </si>
  <si>
    <t>NAVAPLUD</t>
  </si>
  <si>
    <t>SAIMOOL</t>
  </si>
  <si>
    <t>0924265962 </t>
  </si>
  <si>
    <t>navaplud.sai@student.mahidol.ac.th</t>
  </si>
  <si>
    <t>KONTAWAT</t>
  </si>
  <si>
    <t>WISETPAITOON</t>
  </si>
  <si>
    <t>0947585809 </t>
  </si>
  <si>
    <t>kontawat.wis@student.mahidol.ac.th</t>
  </si>
  <si>
    <t>WATSAPOL</t>
  </si>
  <si>
    <t>SAMITTIVATE</t>
  </si>
  <si>
    <t>0630911313 </t>
  </si>
  <si>
    <t>watsapol.sam@student.mahidol.ac.th</t>
  </si>
  <si>
    <t>THITIRAT</t>
  </si>
  <si>
    <t>SUKIJPRASERT</t>
  </si>
  <si>
    <t>0867996588 </t>
  </si>
  <si>
    <t>thitirat.suk@student.mahidol.ac.th</t>
  </si>
  <si>
    <t>WARAKUL</t>
  </si>
  <si>
    <t>SUWATTANANON</t>
  </si>
  <si>
    <t>0935641459 </t>
  </si>
  <si>
    <t>warakul.suw@student.mahidol.ac.th</t>
  </si>
  <si>
    <t>PADON</t>
  </si>
  <si>
    <t>THONGPUMMIPAT</t>
  </si>
  <si>
    <t>0988271343 </t>
  </si>
  <si>
    <t>padon.tho@student.mahidol.ac.th</t>
  </si>
  <si>
    <t>SETTANUN</t>
  </si>
  <si>
    <t>VIRATTINUN</t>
  </si>
  <si>
    <t>0956826234 </t>
  </si>
  <si>
    <t>settanun.vir@student.mahidol.ac.th</t>
  </si>
  <si>
    <t>THAMMANOON</t>
  </si>
  <si>
    <t>SANGUANLERTRUTHAI</t>
  </si>
  <si>
    <t>0941875577 </t>
  </si>
  <si>
    <t>thammanoon.san@student.mahidol.ac.th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</si>
  <si>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IMG_20220408_162745_THAMMANOON%20SANGUANLE.jpg</t>
  </si>
  <si>
    <t>BUSARIN</t>
  </si>
  <si>
    <t>JENSAI</t>
  </si>
  <si>
    <t>0924591001 </t>
  </si>
  <si>
    <t>busarin.jen@student.mahidol.ac.th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</si>
  <si>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Screenshot_20230119-131912_Office_BUSARIN%20JENSAI.jpg</t>
  </si>
  <si>
    <t>WENLIN</t>
  </si>
  <si>
    <t>AN</t>
  </si>
  <si>
    <t>wenlin.an@student.mahidol.ac.th</t>
  </si>
  <si>
    <t>JIAXIAN</t>
  </si>
  <si>
    <t>CHEN</t>
  </si>
  <si>
    <t>jiaxian.che@student.mahidol.ac.th</t>
  </si>
  <si>
    <t>LINGRUI</t>
  </si>
  <si>
    <t>DONG</t>
  </si>
  <si>
    <t>lingrui.don@student.mahidol.ac.th</t>
  </si>
  <si>
    <t>LINGWEI</t>
  </si>
  <si>
    <t>KONG</t>
  </si>
  <si>
    <t>lingwei.kon@student.mahidol.ac.th</t>
  </si>
  <si>
    <t>HUANRONG</t>
  </si>
  <si>
    <t>huanrong.liu@student.mahidol.ac.th</t>
  </si>
  <si>
    <t>YUNDUO</t>
  </si>
  <si>
    <t>yunduo.luo@student.mahidol.ac.th</t>
  </si>
  <si>
    <t>QIYUE</t>
  </si>
  <si>
    <t>SHI</t>
  </si>
  <si>
    <t>qiyue.shi@student.mahidol.ac.th</t>
  </si>
  <si>
    <t>CHENGXIAO</t>
  </si>
  <si>
    <t>chengxiao.wan@student.mahidol.ac.th</t>
  </si>
  <si>
    <t>HEJUN</t>
  </si>
  <si>
    <t>hejun.wan@student.mahidol.ac.th</t>
  </si>
  <si>
    <t>ZISHU</t>
  </si>
  <si>
    <t>zishu.wan@student.mahidol.ac.th</t>
  </si>
  <si>
    <t>PINGJIANG</t>
  </si>
  <si>
    <t>WUWANG</t>
  </si>
  <si>
    <t>pingjiang.wuw@student.mahidol.ac.th</t>
  </si>
  <si>
    <t>CHUSONG</t>
  </si>
  <si>
    <t>chusong.xu@student.mahidol.ac.th</t>
  </si>
  <si>
    <t>HONGBO</t>
  </si>
  <si>
    <t>XUAN</t>
  </si>
  <si>
    <t>hongbo.xua@student.mahidol.ac.th</t>
  </si>
  <si>
    <t>ARIYAWONG</t>
  </si>
  <si>
    <t>0921095109 </t>
  </si>
  <si>
    <t>pakin.ari@student.mahidol.ac.th</t>
  </si>
  <si>
    <t>CHENGYAN</t>
  </si>
  <si>
    <t>DUAN</t>
  </si>
  <si>
    <t>chengyan.dua@student.mahidol.ac.th</t>
  </si>
  <si>
    <t>PANITHI</t>
  </si>
  <si>
    <t>RUNGGERATIGUL</t>
  </si>
  <si>
    <t>0836071345 </t>
  </si>
  <si>
    <t>panithi.run@student.mahidol.ac.th</t>
  </si>
  <si>
    <t>JUNYI</t>
  </si>
  <si>
    <t>XIAO</t>
  </si>
  <si>
    <t>junyi.xia@student.mahidol.ac.th</t>
  </si>
  <si>
    <t>PATIPHAN</t>
  </si>
  <si>
    <t>CHAN</t>
  </si>
  <si>
    <t>0800161060 </t>
  </si>
  <si>
    <t>patiphan.cha@student.mahidol.ac.th</t>
  </si>
  <si>
    <t>BUNRADAR</t>
  </si>
  <si>
    <t>CHATCHAIYADECH</t>
  </si>
  <si>
    <t>0959539945 </t>
  </si>
  <si>
    <t>bunradar.cha@student.mahidol.ac.th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</si>
  <si>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66C468BC-3630-459B-ACE2-348BE9737185_BUNRADAR%20CHATCHAIYAD.jpeg</t>
  </si>
  <si>
    <t>CHATTAPORN</t>
  </si>
  <si>
    <t>CHUENAMNUAYCHAI</t>
  </si>
  <si>
    <t>0933263593 </t>
  </si>
  <si>
    <t>chattaporn.chu@student.mahidol.ac.th</t>
  </si>
  <si>
    <t>WARANAT</t>
  </si>
  <si>
    <t>DEEPRADUB</t>
  </si>
  <si>
    <t>0640429777 </t>
  </si>
  <si>
    <t>waranat.dee@student.mahidol.ac.th</t>
  </si>
  <si>
    <t>KEERATI</t>
  </si>
  <si>
    <t>IMUTORN</t>
  </si>
  <si>
    <t>0996102913 </t>
  </si>
  <si>
    <t>keerati.imu@student.mahidol.ac.th</t>
  </si>
  <si>
    <t>PAWIN</t>
  </si>
  <si>
    <t>KHAMLAKSANA</t>
  </si>
  <si>
    <t>0830902116 </t>
  </si>
  <si>
    <t>pawin.kha@student.mahidol.ac.th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</si>
  <si>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2C9F21AF-C3A3-4DA7-AC2D-87AE6809C3C6_PAWIN%20KHAMLAKSANA.jpeg</t>
  </si>
  <si>
    <t>SARANA</t>
  </si>
  <si>
    <t>KRAITUKRANG</t>
  </si>
  <si>
    <t>0926499825 </t>
  </si>
  <si>
    <t>sarana.kra@student.mahidol.ac.th</t>
  </si>
  <si>
    <t>SAHAPAP</t>
  </si>
  <si>
    <t>LORPRASONGSUK</t>
  </si>
  <si>
    <t>0860008881 </t>
  </si>
  <si>
    <t>sahapap.lor@student.mahidol.ac.th</t>
  </si>
  <si>
    <t>ATIKOON</t>
  </si>
  <si>
    <t>PHUTSADEEWAN</t>
  </si>
  <si>
    <t>0874997184 </t>
  </si>
  <si>
    <t>atikoon.phu@student.mahidol.ac.th</t>
  </si>
  <si>
    <t>VAINAWIN</t>
  </si>
  <si>
    <t>PIYAMITMONGKOL</t>
  </si>
  <si>
    <t>0615369415 </t>
  </si>
  <si>
    <t>vainawin.piy@student.mahidol.ac.th</t>
  </si>
  <si>
    <t>PANTAREE</t>
  </si>
  <si>
    <t>PRASONGSUK</t>
  </si>
  <si>
    <t>MAHIDOL UNIVERSITY</t>
  </si>
  <si>
    <t>0616146654 </t>
  </si>
  <si>
    <t>pantaree.prs@student.mahidol.ac.th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</si>
  <si>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6388194_Pantaree_Prasongsuk_TOEIC_PANTAREE%20PRASONGSUK.pdf</t>
  </si>
  <si>
    <t>SAETIAO</t>
  </si>
  <si>
    <t>0991622064 </t>
  </si>
  <si>
    <t>natnicha.sae@student.mahidol.ac.th</t>
  </si>
  <si>
    <t>SASIMA</t>
  </si>
  <si>
    <t>SRIJANYA</t>
  </si>
  <si>
    <t>0922482545 </t>
  </si>
  <si>
    <t>sasima.sri@student.mahidol.ac.th</t>
  </si>
  <si>
    <t>WATTANAPONG</t>
  </si>
  <si>
    <t>SUKCHAREONCHOK</t>
  </si>
  <si>
    <t>0961451945 </t>
  </si>
  <si>
    <t>wattnnapong.suk@student.mahidol.ac.th</t>
  </si>
  <si>
    <t>THANCHANOK</t>
  </si>
  <si>
    <t>THONGSOM</t>
  </si>
  <si>
    <t>0910146347 </t>
  </si>
  <si>
    <t>thachanok.tho@student.mahidol.ac.th</t>
  </si>
  <si>
    <t>JANICHA</t>
  </si>
  <si>
    <t>URAJAI</t>
  </si>
  <si>
    <t>0830093154 </t>
  </si>
  <si>
    <t>janicha.ura@student.mahidol.ac.th</t>
  </si>
  <si>
    <t>VEERAKUL</t>
  </si>
  <si>
    <t>0847245668 </t>
  </si>
  <si>
    <t>napat.vee@student.mahidol.ac.th</t>
  </si>
  <si>
    <t>PHUVANARTH</t>
  </si>
  <si>
    <t>WANGMUK</t>
  </si>
  <si>
    <t>0909027557 </t>
  </si>
  <si>
    <t>phuvanarth.wan@student.mahidol.ac.th</t>
  </si>
  <si>
    <t>KRITTANA</t>
  </si>
  <si>
    <t>CHERDJIRAPONG</t>
  </si>
  <si>
    <t>0880452495 </t>
  </si>
  <si>
    <t>krittana.che@student.mahidol.ac.th</t>
  </si>
  <si>
    <t>TAWAN</t>
  </si>
  <si>
    <t>MEETHONG</t>
  </si>
  <si>
    <t>0926242514 </t>
  </si>
  <si>
    <t>tawan.mee@student.mahidol.ac.th</t>
  </si>
  <si>
    <t>RINRADA</t>
  </si>
  <si>
    <t>PRASONGRATANAKUL</t>
  </si>
  <si>
    <t>0864029471 </t>
  </si>
  <si>
    <t>rinrada.prs@student.mahidol.ac.th</t>
  </si>
  <si>
    <t>VORAKIT</t>
  </si>
  <si>
    <t>VAIJEARANAI</t>
  </si>
  <si>
    <t>0819013366 </t>
  </si>
  <si>
    <t>vorakit.vai@student.mahidol.ac.th</t>
  </si>
  <si>
    <t>MAYTHAPRON</t>
  </si>
  <si>
    <t>KANSIRI</t>
  </si>
  <si>
    <t>0925853888 </t>
  </si>
  <si>
    <t>maythapron.kan@student.mahidol.ac.th</t>
  </si>
  <si>
    <t>SARANYAPORN</t>
  </si>
  <si>
    <t>KUNAWONGKRIT</t>
  </si>
  <si>
    <t>0943102728 </t>
  </si>
  <si>
    <t>saranyaporn.kun@student.mahidol.ac.th</t>
  </si>
  <si>
    <t>CHIDCHOUE</t>
  </si>
  <si>
    <t>0918856500 </t>
  </si>
  <si>
    <t>thanakorn.chd@student.mahidol.ac.th</t>
  </si>
  <si>
    <t>BOONGAREE</t>
  </si>
  <si>
    <t>napat.bog@student.mahidol.ac.th</t>
  </si>
  <si>
    <t>SIRASAN</t>
  </si>
  <si>
    <t>SRIJIRAPATTANAKUL</t>
  </si>
  <si>
    <t>sirasan.srj@student.mahidol.ac.th</t>
  </si>
  <si>
    <t>AIAMSAMARNG</t>
  </si>
  <si>
    <t>kasidis.aia@student.mahidol.ac.th</t>
  </si>
  <si>
    <t>KITTIPICH</t>
  </si>
  <si>
    <t>AIUMBHORNSIN</t>
  </si>
  <si>
    <t>kittipich.aiu@student.mahidol.ac.th</t>
  </si>
  <si>
    <t>SIRAWICH</t>
  </si>
  <si>
    <t>ANANTAPONG</t>
  </si>
  <si>
    <t>sirawich.ann@student.mahidol.ac.th</t>
  </si>
  <si>
    <t>PATTARADANAI</t>
  </si>
  <si>
    <t>BOONPENG</t>
  </si>
  <si>
    <t>pattaradanai.boo@student.mahidol.ac.th</t>
  </si>
  <si>
    <t>PORAMEE</t>
  </si>
  <si>
    <t>APIRADEEWAJEESET</t>
  </si>
  <si>
    <t>poramee.api@student.mahidol.ac.th</t>
  </si>
  <si>
    <t>ANAPAT</t>
  </si>
  <si>
    <t>CHAIWONGSE</t>
  </si>
  <si>
    <t>anapat.chi@student.mahidol.ac.th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</si>
  <si>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20230314_070153_ANAPAT%20CHAIWONGSE.jpg</t>
  </si>
  <si>
    <t>KANATIP</t>
  </si>
  <si>
    <t>BHONGSPRAPAS</t>
  </si>
  <si>
    <t>kanatip.bho@student.mahidol.ac.th</t>
  </si>
  <si>
    <t>CHAIDEE</t>
  </si>
  <si>
    <t>ITP</t>
  </si>
  <si>
    <t>tawan.chi@student.mahidol.ac.th</t>
  </si>
  <si>
    <t>SUWIBOON</t>
  </si>
  <si>
    <t>CHAMNIWIKAIKANGWAN</t>
  </si>
  <si>
    <t>suwiboon.cha@student.mahidol.ac.th</t>
  </si>
  <si>
    <t>PRAEWSUPHANG</t>
  </si>
  <si>
    <t>CHANNRUANGRAT</t>
  </si>
  <si>
    <t>praewsuphang.cha@student.mahidol.ac.th</t>
  </si>
  <si>
    <t>YANISA</t>
  </si>
  <si>
    <t>CHANNARONG</t>
  </si>
  <si>
    <t>yanisa.chr@student.mahidol.ac.th</t>
  </si>
  <si>
    <t>CHONCHANOK</t>
  </si>
  <si>
    <t>CHANTPAKPIMON</t>
  </si>
  <si>
    <t>chonchanok.cha@student.mahidol.ac.th</t>
  </si>
  <si>
    <t>PIMMAT</t>
  </si>
  <si>
    <t>CHATVICHAI</t>
  </si>
  <si>
    <t>pimmat.cha@student.mahidol.ac.th</t>
  </si>
  <si>
    <t>THANATIP</t>
  </si>
  <si>
    <t>CHAWALITPORN</t>
  </si>
  <si>
    <t>thanatip.cha@student.mahidol.ac.th</t>
  </si>
  <si>
    <t>DEEPROM</t>
  </si>
  <si>
    <t>ramita.dee@student.mahidol.ac.th</t>
  </si>
  <si>
    <t>PHALOCH</t>
  </si>
  <si>
    <t>CHOMMAI</t>
  </si>
  <si>
    <t>phaloch.cho@student.mahidol.ac.th</t>
  </si>
  <si>
    <t>NAVALUCK</t>
  </si>
  <si>
    <t>DUWA</t>
  </si>
  <si>
    <t>navaluck.duw@student.mahidol.ac.th</t>
  </si>
  <si>
    <t>RUSSARIN</t>
  </si>
  <si>
    <t>EAIMRITTIKRAI</t>
  </si>
  <si>
    <t>russarin.eai@student.mahidol.ac.th</t>
  </si>
  <si>
    <t>EAMSAARD</t>
  </si>
  <si>
    <t>sirawich.eam@student.mahidol.ac.th</t>
  </si>
  <si>
    <t>THARICH</t>
  </si>
  <si>
    <t>HAENGPHOSAKUL</t>
  </si>
  <si>
    <t>tharich.hae@student.mahidol.ac.th</t>
  </si>
  <si>
    <t>PATCHARAPON</t>
  </si>
  <si>
    <t>HATHAICHOT</t>
  </si>
  <si>
    <t>patcharapon.hat@student.mahidol.ac.th</t>
  </si>
  <si>
    <t>THITIWUT</t>
  </si>
  <si>
    <t>HARNPHATCHARAPANUKORN</t>
  </si>
  <si>
    <t>thitiwut.har@student.mahidol.ac.th</t>
  </si>
  <si>
    <t>NETITHORN</t>
  </si>
  <si>
    <t>INAMNUAY</t>
  </si>
  <si>
    <t>netithorn.ina@student.mahidol.ac.th</t>
  </si>
  <si>
    <t>PHONLAPHAT</t>
  </si>
  <si>
    <t>INTANIN</t>
  </si>
  <si>
    <t>phonlaphat.int@student.mahidol.ac.th</t>
  </si>
  <si>
    <t>PHASSAPOL</t>
  </si>
  <si>
    <t>HIRUNYAPRATHIP</t>
  </si>
  <si>
    <t>phassapol.hir@student.mahidol.ac.th</t>
  </si>
  <si>
    <t>CHANIKARN</t>
  </si>
  <si>
    <t>JONGYINGYOS</t>
  </si>
  <si>
    <t>chanikarn.jon@student.mahidol.ac.th</t>
  </si>
  <si>
    <t>SUSHAWAPAK</t>
  </si>
  <si>
    <t>KANCHAROENDEE</t>
  </si>
  <si>
    <t>sushawapak.kan@student.mahidol.ac.th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</si>
  <si>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IMG_20230220_150712_SUSHAWAPAK%20KANCHAROE.jpg</t>
  </si>
  <si>
    <t>PKIN</t>
  </si>
  <si>
    <t>KARUNRATTANAKUL</t>
  </si>
  <si>
    <t>pkin.kar@student.mahidol.ac.th</t>
  </si>
  <si>
    <t>KHUBOON</t>
  </si>
  <si>
    <t>HOMCHUEN</t>
  </si>
  <si>
    <t>khuboon.hom@student.mahidol.ac.th</t>
  </si>
  <si>
    <t>PONWISED</t>
  </si>
  <si>
    <t>KITTITRONSUB</t>
  </si>
  <si>
    <t>ponwised.kit@student.mahidol.ac.th</t>
  </si>
  <si>
    <t>KLONGCHENGSAN</t>
  </si>
  <si>
    <t>nattapat.klo@student.mahidol.ac.th</t>
  </si>
  <si>
    <t>TEERUT</t>
  </si>
  <si>
    <t>KRACHANGPOJ</t>
  </si>
  <si>
    <t>teerut.kra@student.mahidol.ac.th</t>
  </si>
  <si>
    <t>KRITTIN</t>
  </si>
  <si>
    <t>KUMTHORNTHIP</t>
  </si>
  <si>
    <t>krittin.kum@student.mahidol.ac.th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</si>
  <si>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IMG_5128_KRITTIN%20KUMTHORNTHIP.JPG</t>
  </si>
  <si>
    <t>SITTIPHON</t>
  </si>
  <si>
    <t>LERDTOMOLSAKUL</t>
  </si>
  <si>
    <t>sittiphon.ler@student.mahidol.ac.th</t>
  </si>
  <si>
    <t>KANYAVEE</t>
  </si>
  <si>
    <t>LIKITWATTANAKIJ</t>
  </si>
  <si>
    <t>kanyavee.lik@student.mahidol.ac.th</t>
  </si>
  <si>
    <t>KAKANAMPORN</t>
  </si>
  <si>
    <t>INTHASUWAN</t>
  </si>
  <si>
    <t>kakanamporn.int@student.mahidol.ac.th</t>
  </si>
  <si>
    <t>ALONGKORN</t>
  </si>
  <si>
    <t>JANPENSRI</t>
  </si>
  <si>
    <t>alongkorn.jap@student.mahidol.ac.th</t>
  </si>
  <si>
    <t>KHASIDECH</t>
  </si>
  <si>
    <t>JIWYAM</t>
  </si>
  <si>
    <t>khasidech.jiw@student.mahidol.ac.th</t>
  </si>
  <si>
    <t>YOSAPOL</t>
  </si>
  <si>
    <t>MALLAM</t>
  </si>
  <si>
    <t>yosapol.mal@student.mahidol.ac.th</t>
  </si>
  <si>
    <t>PONGPHAT</t>
  </si>
  <si>
    <t>MITRATHANUN</t>
  </si>
  <si>
    <t>pongphat.mit@student.mahidol.ac.th</t>
  </si>
  <si>
    <t>SHOOJUTAR</t>
  </si>
  <si>
    <t>NARTCHALUNTOLN</t>
  </si>
  <si>
    <t>shoojutar.nar@student.mahidol.ac.th</t>
  </si>
  <si>
    <t>SUPITHCHA</t>
  </si>
  <si>
    <t>JONGPHOEMWATTHANAPHON</t>
  </si>
  <si>
    <t>supithcha.jon@student.mahidol.ac.th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</si>
  <si>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3902F728-38F0-42AC-9127-E06112F7DD3E_SUPITHCHA%20JONGPHOEMW.png</t>
  </si>
  <si>
    <t>PORAMET</t>
  </si>
  <si>
    <t>KAEWPRADUB</t>
  </si>
  <si>
    <t>poramet.kae@student.mahidol.ac.th</t>
  </si>
  <si>
    <t>NATTARAT</t>
  </si>
  <si>
    <t>PANJACHAIPORNPOL</t>
  </si>
  <si>
    <t>nattarat.pan@student.mahidol.ac.th</t>
  </si>
  <si>
    <t>KAMAISOM</t>
  </si>
  <si>
    <t>napat.kai@student.mahidol.ac.th</t>
  </si>
  <si>
    <t>KANITA</t>
  </si>
  <si>
    <t>KARUNKITTIKUN</t>
  </si>
  <si>
    <t>kanita.kar@student.mahidol.ac.th</t>
  </si>
  <si>
    <t>KHAMKAWEEPART</t>
  </si>
  <si>
    <t>waris.kha@student.mahidol.ac.th</t>
  </si>
  <si>
    <t>PURINAT</t>
  </si>
  <si>
    <t>PATTANAKEAW</t>
  </si>
  <si>
    <t>purinat.paa@student.mahidol.ac.th</t>
  </si>
  <si>
    <t>SASASUANG</t>
  </si>
  <si>
    <t>PATTANAKITJAROENCHAI</t>
  </si>
  <si>
    <t>sasasuang.pat@student.mahidol.ac.th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</si>
  <si>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https://studentmahidolac.sharepoint.com/sites/AcademicTeam603/Shared%20Documents/%E0%B9%81%E0%B8%AD%E0%B8%9B/Microsoft%20Forms/English%20Proficiency%20Test%20for%20Graduation%20-%20English/Please%20attached%20the%20original%20score%20certificate/muelt_SASASUANG%20PATTANAKIT.JPG</t>
  </si>
  <si>
    <t>KRITTANAI</t>
  </si>
  <si>
    <t>PEANJAROEN</t>
  </si>
  <si>
    <t>krittanai.pea@student.mahidol.ac.th</t>
  </si>
  <si>
    <t>NAPATTARAPHON</t>
  </si>
  <si>
    <t>PHANRIT</t>
  </si>
  <si>
    <t>napattaraphon.pha@student.mahidol.ac.th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</si>
  <si>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image-1_NAPATTARAPHON%20PHANRI.png</t>
  </si>
  <si>
    <t>PHUSIT</t>
  </si>
  <si>
    <t>PHANUROJPACHA</t>
  </si>
  <si>
    <t>phusit.pha@student.mahidol.ac.th</t>
  </si>
  <si>
    <t>TANAPAT</t>
  </si>
  <si>
    <t>KLIPKAMRAI</t>
  </si>
  <si>
    <t>tanapat.klp@student.mahidol.ac.th</t>
  </si>
  <si>
    <t>PHAWIDA</t>
  </si>
  <si>
    <t>PHUNGCHUEN</t>
  </si>
  <si>
    <t>phawida.phu@student.mahidol.ac.th</t>
  </si>
  <si>
    <t>RAWIPORN</t>
  </si>
  <si>
    <t>LERTJANPHEN</t>
  </si>
  <si>
    <t>rawiporn.ler@student.mahidol.ac.th</t>
  </si>
  <si>
    <t>BOONLAPORN</t>
  </si>
  <si>
    <t>PINYOCHON</t>
  </si>
  <si>
    <t>boonlaporn.pin@student.mahidol.ac.th</t>
  </si>
  <si>
    <t>PAWITA</t>
  </si>
  <si>
    <t>pawita.pon@student.mahidol.ac.th</t>
  </si>
  <si>
    <t>CHANINAN</t>
  </si>
  <si>
    <t>PHETPANGUN</t>
  </si>
  <si>
    <t>chaninan.phe@student.mahidol.ac.th</t>
  </si>
  <si>
    <t>JADSADA</t>
  </si>
  <si>
    <t>POUNGJEEN</t>
  </si>
  <si>
    <t>jadsada.pou@student.mahidol.ac.th</t>
  </si>
  <si>
    <t>KHANCHAI</t>
  </si>
  <si>
    <t>PRADASAK</t>
  </si>
  <si>
    <t>khanchai.pra@student.mahidol.ac.th</t>
  </si>
  <si>
    <t>TACHIN</t>
  </si>
  <si>
    <t>POHBOONCHUEN</t>
  </si>
  <si>
    <t>tachin.poh@student.mahidol.ac.th</t>
  </si>
  <si>
    <t>KITTIKAWIN</t>
  </si>
  <si>
    <t>PONGPRASIT</t>
  </si>
  <si>
    <t>kittikawin.pon@student.mahidol.ac.th</t>
  </si>
  <si>
    <t>ARADA</t>
  </si>
  <si>
    <t>RAKSAPATCHARAWONG</t>
  </si>
  <si>
    <t>arada.rak@student.mahidol.ac.th</t>
  </si>
  <si>
    <t>TANAWAT</t>
  </si>
  <si>
    <t>RAWEEPACHWARATHON</t>
  </si>
  <si>
    <t>tanawat.raw@student.mahidol.ac.th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</si>
  <si>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Screenshot_20230508_164017_Chrome_TANAWAT%20RAWEEPACHWAR.jpg</t>
  </si>
  <si>
    <t>TRAIPHOB</t>
  </si>
  <si>
    <t>REWBAMRUNG</t>
  </si>
  <si>
    <t>traiphob.rew@student.mahidol.ac.th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</si>
  <si>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Duolingo%20English%20Test%20u6488068_TRAIPHOB%20REWBAMRUNG.pdf</t>
  </si>
  <si>
    <t>CHATTAWAT</t>
  </si>
  <si>
    <t>RIYONG</t>
  </si>
  <si>
    <t>chattawat.riy@student.mahidol.ac.th</t>
  </si>
  <si>
    <t>YANNAPHAT</t>
  </si>
  <si>
    <t>ROMPHOYEN</t>
  </si>
  <si>
    <t>yannaphat.lom@student.mahidol.ac.th</t>
  </si>
  <si>
    <t>ISARIYA</t>
  </si>
  <si>
    <t>RASSAMEERERKSET</t>
  </si>
  <si>
    <t>isariya.raa@student.mahidol.ac.th</t>
  </si>
  <si>
    <t>PACHANITHA</t>
  </si>
  <si>
    <t>pachanitha.sae@student.mahidol.ac.th</t>
  </si>
  <si>
    <t>CHALISA</t>
  </si>
  <si>
    <t>SAE-NGOW</t>
  </si>
  <si>
    <t>chalisa.sag@student.mahidol.ac.th</t>
  </si>
  <si>
    <t>THEEKHA</t>
  </si>
  <si>
    <t>RATTANAPIMOL</t>
  </si>
  <si>
    <t>theekha.rat@student.mahidol.ac.th</t>
  </si>
  <si>
    <t>SAE-JIAM</t>
  </si>
  <si>
    <t>jirayu.sae@student.mahidol.ac.th</t>
  </si>
  <si>
    <t>THANABHUMI</t>
  </si>
  <si>
    <t>SANTITHANAVIGLAI</t>
  </si>
  <si>
    <t>thanabhumi.san@student.mahidol.ac.th</t>
  </si>
  <si>
    <t>SATHAPORNWATTHANAKUL</t>
  </si>
  <si>
    <t>thanat.sat@student.mahidol.ac.th</t>
  </si>
  <si>
    <t>SIRA</t>
  </si>
  <si>
    <t>SITTIJARATHUM</t>
  </si>
  <si>
    <t>sira.sit@student.mahidol.ac.th</t>
  </si>
  <si>
    <t>BURIT</t>
  </si>
  <si>
    <t>SIHABUT</t>
  </si>
  <si>
    <t>burit.sih@student.mahidol.ac.th</t>
  </si>
  <si>
    <t>JAMES</t>
  </si>
  <si>
    <t>SIMON</t>
  </si>
  <si>
    <t>james.sim@student.mahidol.ac.th</t>
  </si>
  <si>
    <t>PITTINUNT</t>
  </si>
  <si>
    <t>SIRIGITTIKUL</t>
  </si>
  <si>
    <t>pittinunt.sir@student.mahidol.ac.th</t>
  </si>
  <si>
    <t>SORAVIT</t>
  </si>
  <si>
    <t>SIRIHATASAK</t>
  </si>
  <si>
    <t>soravit.sir@student.mahidol.ac.th</t>
  </si>
  <si>
    <t>SOMPONG</t>
  </si>
  <si>
    <t>kanyanut.som@student.mahidol.ac.th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</si>
  <si>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6488083_duolingo_KANYANUT%20SOMPONG.pdf</t>
  </si>
  <si>
    <t>SITHSADA</t>
  </si>
  <si>
    <t>SIVARAKS</t>
  </si>
  <si>
    <t>sithsada.sia@student.mahidol.ac.th</t>
  </si>
  <si>
    <t>BHUBODIN</t>
  </si>
  <si>
    <t>SOMWHANG</t>
  </si>
  <si>
    <t>bhubodin.som@student.mahidol.ac.th</t>
  </si>
  <si>
    <t>CHUTWEERAYA</t>
  </si>
  <si>
    <t>SRIWILAILAK</t>
  </si>
  <si>
    <t>chutweeraya.sri@student.mahidol.ac.th</t>
  </si>
  <si>
    <t>THANATCHAYA</t>
  </si>
  <si>
    <t>SUJARIT</t>
  </si>
  <si>
    <t>thanatchaya.suj@student.mahidol.ac.th</t>
  </si>
  <si>
    <t>ITTIKORN</t>
  </si>
  <si>
    <t>SUKSAI</t>
  </si>
  <si>
    <t>ittikorn.suk@student.mahidol.ac.th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</si>
  <si>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52E7C145-A701-4799-BB9B-EBDB4229FC98_ITTIKORN%20SUKSAI.jpeg</t>
  </si>
  <si>
    <t>PATTARAVIT</t>
  </si>
  <si>
    <t>SUKSRI</t>
  </si>
  <si>
    <t>pattaravit.suk@student.mahidol.ac.th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</si>
  <si>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6488089_MU-ELT_PATTARAVIT%20SUKSRI.pdf</t>
  </si>
  <si>
    <t>THANADOL</t>
  </si>
  <si>
    <t>SUMETCHOTIMAYTHA</t>
  </si>
  <si>
    <t>thanadol.sum@student.mahidol.ac.th</t>
  </si>
  <si>
    <t>TULAGARN</t>
  </si>
  <si>
    <t>SORNPRASIT</t>
  </si>
  <si>
    <t>tulagarn.sor@student.mahidol.ac.th</t>
  </si>
  <si>
    <t>SUMRITH</t>
  </si>
  <si>
    <t>thanaphat.sum@student.mahidol.ac.th</t>
  </si>
  <si>
    <t>NATTAWAT</t>
  </si>
  <si>
    <t>SURARATCHAI</t>
  </si>
  <si>
    <t>nattawat.sur@student.mahidol.ac.th</t>
  </si>
  <si>
    <t>SARANYA</t>
  </si>
  <si>
    <t>saranya.sut@student.mahidol.ac.th</t>
  </si>
  <si>
    <t>PANYAPORN</t>
  </si>
  <si>
    <t>SUWANNASIT</t>
  </si>
  <si>
    <t>panyaporn.suw@student.mahidol.ac.th</t>
  </si>
  <si>
    <t>PEERAPONG</t>
  </si>
  <si>
    <t>TANTASILP</t>
  </si>
  <si>
    <t>peerapong.tat@student.mahidol.ac.th</t>
  </si>
  <si>
    <t>BUSAYAWADEE</t>
  </si>
  <si>
    <t>SUPHAP</t>
  </si>
  <si>
    <t>busayawadee.sup@student.mahidol.ac.th</t>
  </si>
  <si>
    <t>CHANAYACHA</t>
  </si>
  <si>
    <t>SURIYASOONTHORN</t>
  </si>
  <si>
    <t>chanayacha.sur@student.mahidol.ac.th</t>
  </si>
  <si>
    <t>YOTSAPAT</t>
  </si>
  <si>
    <t>TANPRATHUMWONG</t>
  </si>
  <si>
    <t>yotsapat.tan@student.mahidol.ac.th</t>
  </si>
  <si>
    <t>JIRARUCH</t>
  </si>
  <si>
    <t>TANTIYAVARONG</t>
  </si>
  <si>
    <t>jiraruch.tan@student.mahidol.ac.th</t>
  </si>
  <si>
    <t>SUPAVIT</t>
  </si>
  <si>
    <t>TOUNNAWARAT</t>
  </si>
  <si>
    <t>supavit.tou@student.mahidol.ac.th</t>
  </si>
  <si>
    <t>TECHIN</t>
  </si>
  <si>
    <t>WANGKART</t>
  </si>
  <si>
    <t>techin.wan@student.mahidol.ac.th</t>
  </si>
  <si>
    <t>panyaporn.wan@student.mahidol.ac.th</t>
  </si>
  <si>
    <t>PUNNARUJ</t>
  </si>
  <si>
    <t>WUTHIJARIYASAK</t>
  </si>
  <si>
    <t>punnaruj.wut@student.mahidol.ac.th</t>
  </si>
  <si>
    <t>KANTINAN</t>
  </si>
  <si>
    <t>YONTAWIL</t>
  </si>
  <si>
    <t>kantinan.yon@student.mahidol.ac.th</t>
  </si>
  <si>
    <t>RATSORN</t>
  </si>
  <si>
    <t>THANANANNATHINEE</t>
  </si>
  <si>
    <t>ratsorn.thn@student.mahidol.ac.th</t>
  </si>
  <si>
    <t>SIRAPATH</t>
  </si>
  <si>
    <t>THAINIYOM</t>
  </si>
  <si>
    <t>sirapath.tha@student.mahidol.ac.th</t>
  </si>
  <si>
    <t>PITH</t>
  </si>
  <si>
    <t>THANAWATCHARAKORN</t>
  </si>
  <si>
    <t>pith.tha@student.mahidol.ac.th</t>
  </si>
  <si>
    <t>PATTARAPORN</t>
  </si>
  <si>
    <t>TONGMAHAVISED</t>
  </si>
  <si>
    <t>pattaraporn.ton@student.mahidol.ac.th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</si>
  <si>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Duolingo%20English%20Test%206488110_PATTARAPORN%20TONGMAHA.pdf</t>
  </si>
  <si>
    <t>TUNJEERA</t>
  </si>
  <si>
    <t>WANGSRI</t>
  </si>
  <si>
    <t>tunjeera.wan@student.mahidol.ac.th</t>
  </si>
  <si>
    <t>NAPATARA</t>
  </si>
  <si>
    <t>WANGTHONGTHANA</t>
  </si>
  <si>
    <t>napatara.wan@student.mahidol.ac.th</t>
  </si>
  <si>
    <t>WITHSARUT</t>
  </si>
  <si>
    <t>WUTTHISATHIAN</t>
  </si>
  <si>
    <t>withsarut.wut@student.mahidol.ac.th</t>
  </si>
  <si>
    <t>PUWADON</t>
  </si>
  <si>
    <t>WUTTISAK</t>
  </si>
  <si>
    <t>puwadon.wut@student.mahidol.ac.th</t>
  </si>
  <si>
    <t>SUPAKIT</t>
  </si>
  <si>
    <t>BURATIPAPONG</t>
  </si>
  <si>
    <t>supakit.bur@student.mahidol.ac.th</t>
  </si>
  <si>
    <t>JIRUCH</t>
  </si>
  <si>
    <t>CHAROENCHAIPRAKIJ</t>
  </si>
  <si>
    <t>jiruch.cha@student.mahidol.ac.th</t>
  </si>
  <si>
    <t>PEARAVICH</t>
  </si>
  <si>
    <t>CHARTSIRIWATTANA</t>
  </si>
  <si>
    <t>pearavich.cha@student.mahidol.ac.th</t>
  </si>
  <si>
    <t>SUPHAVADEE</t>
  </si>
  <si>
    <t>CHENG</t>
  </si>
  <si>
    <t>suphavadee.che@student.mahidol.ac.th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</si>
  <si>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6488120-MUELT_SUPHAVADEE%20CHENG.pdf</t>
  </si>
  <si>
    <t>HAO</t>
  </si>
  <si>
    <t>hao.hua@student.mahidol.ac.th</t>
  </si>
  <si>
    <t>PADDY THEPMONGKOL</t>
  </si>
  <si>
    <t>DENIER</t>
  </si>
  <si>
    <t>paddy.den@student.mahidol.ac.th</t>
  </si>
  <si>
    <t>KITIPHUM</t>
  </si>
  <si>
    <t>MUEANGTHONGKHAM</t>
  </si>
  <si>
    <t>kitiphum.mue@student.mahidol.ac.th</t>
  </si>
  <si>
    <t>SARTTRA</t>
  </si>
  <si>
    <t>PRASONGTICHOL</t>
  </si>
  <si>
    <t>sarttra.pra@student.mahidol.ac.th</t>
  </si>
  <si>
    <t>PHUTTHIKANJ</t>
  </si>
  <si>
    <t>KITIVORANONDH</t>
  </si>
  <si>
    <t>phutthikanj.kit@student.mahidol.ac.th</t>
  </si>
  <si>
    <t>KIRATI</t>
  </si>
  <si>
    <t>NGAMPIS</t>
  </si>
  <si>
    <t>kirati.nga@student.mahidol.ac.th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</si>
  <si>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IMG_20220420_182131_KIRATI%20NGAMPIS.jpg</t>
  </si>
  <si>
    <t>NONPASSOPON</t>
  </si>
  <si>
    <t>thanapat.non@student.mahidol.ac.th</t>
  </si>
  <si>
    <t>KARUETAT</t>
  </si>
  <si>
    <t>PANASPRAIPONG</t>
  </si>
  <si>
    <t>karuetat.pan@student.mahidol.ac.th</t>
  </si>
  <si>
    <t>WARITTHA</t>
  </si>
  <si>
    <t>TARNTONG</t>
  </si>
  <si>
    <t>warittha.tao@student.mahidol.ac.th</t>
  </si>
  <si>
    <t>NATTIDA</t>
  </si>
  <si>
    <t>PHETKLA</t>
  </si>
  <si>
    <t>nattida.phe@student.mahidol.ac.th</t>
  </si>
  <si>
    <t>SIRASIT</t>
  </si>
  <si>
    <t>PUANGPATHANACHAI</t>
  </si>
  <si>
    <t>sirasit.pun@student.mahidol.ac.th</t>
  </si>
  <si>
    <t>JIRATEEP</t>
  </si>
  <si>
    <t>RUDEERUDCHANAWONG</t>
  </si>
  <si>
    <t>jirateep.rud@student.mahidol.ac.th</t>
  </si>
  <si>
    <t>CHALITA</t>
  </si>
  <si>
    <t>RUNGFARUNGRONG</t>
  </si>
  <si>
    <t>chalita.run@student.mahidol.ac.th</t>
  </si>
  <si>
    <t>SUPASUTA</t>
  </si>
  <si>
    <t>SOPHONPUTTAPORN</t>
  </si>
  <si>
    <t>supasuta.sop@student.mahidol.ac.th</t>
  </si>
  <si>
    <t>PETCHPEARPLOY</t>
  </si>
  <si>
    <t>SUBHADRABANDHU</t>
  </si>
  <si>
    <t>petchpearploy.sub@student.mahidol.ac.th</t>
  </si>
  <si>
    <t>PATTANUT</t>
  </si>
  <si>
    <t>SUMRANCHIT</t>
  </si>
  <si>
    <t>pattanut.sum@student.mahidol.ac.th</t>
  </si>
  <si>
    <t>KASIDIT</t>
  </si>
  <si>
    <t>TANGBUCHAKIAT</t>
  </si>
  <si>
    <t>kasidit.tag@student.mahidol.ac.th</t>
  </si>
  <si>
    <t>THUMRONGPOWARAT</t>
  </si>
  <si>
    <t>nichapat.thu@student.mahidol.ac.th</t>
  </si>
  <si>
    <t>TREBUNJERDSAKUL</t>
  </si>
  <si>
    <t>nattapat.tre@student.mahidol.ac.th</t>
  </si>
  <si>
    <t>PATTANUN</t>
  </si>
  <si>
    <t>WORAKITSITTISATOR</t>
  </si>
  <si>
    <t>pattanun.wor@student.mahidol.ac.th</t>
  </si>
  <si>
    <t>KONGPHOB</t>
  </si>
  <si>
    <t>WUTTHIUMPHOL</t>
  </si>
  <si>
    <t>kongphob.wut@student.mahidol.ac.th</t>
  </si>
  <si>
    <t>NUTRIN</t>
  </si>
  <si>
    <t>PONGJINDA</t>
  </si>
  <si>
    <t>nutrin.pon@student.mahidol.ac.th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</si>
  <si>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S__14245908_NUTRIN%20PONGJINDA.jpg</t>
  </si>
  <si>
    <t>WANGLAD</t>
  </si>
  <si>
    <t>warintorn.wag@student.mahidol.ac.th</t>
  </si>
  <si>
    <t>ZISHUN</t>
  </si>
  <si>
    <t>zishun.gao@student.mahidol.ac.th</t>
  </si>
  <si>
    <t>PENGKAI</t>
  </si>
  <si>
    <t>pengkai.kon@student.mahidol.ac.th</t>
  </si>
  <si>
    <t>HEMU</t>
  </si>
  <si>
    <t>hemu.li@student.mahidol.ac.th</t>
  </si>
  <si>
    <t>PRACHNACHAI</t>
  </si>
  <si>
    <t>MEAKPAIBOONWATTANA</t>
  </si>
  <si>
    <t>prachnachai.mek@student.mahidol.ac.th</t>
  </si>
  <si>
    <t>THACHCHAI</t>
  </si>
  <si>
    <t>PATTAMASRIRATTANA</t>
  </si>
  <si>
    <t>thachchai.pat@student.mahidol.ac.th</t>
  </si>
  <si>
    <t>DUANXUANLI</t>
  </si>
  <si>
    <t>TANG</t>
  </si>
  <si>
    <t>duanxuanli.tan@student.mahidol.ac.th</t>
  </si>
  <si>
    <t>dong.wan@student.mahidol.ac.th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</si>
  <si>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https://studentmahidolac.sharepoint.com/sites/AcademicTeam603/Shared%20Documents/%E0%B9%81%E0%B8%AD%E0%B8%9B/Microsoft%20Forms/English%20Proficiency%20Test%20for%20Graduation%20-%20English/Please%20attached%20the%20original%20score%20certificate/IELTS_DONG%20WANG.pdf</t>
  </si>
  <si>
    <t>SHAOJUN</t>
  </si>
  <si>
    <t>WEN</t>
  </si>
  <si>
    <t>shaojun.wen@student.mahidol.ac.th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</si>
  <si>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Test%20Report%20Form_SHAOJUN%20WEN.pdf</t>
  </si>
  <si>
    <t>LINFENG</t>
  </si>
  <si>
    <t>ZHANG</t>
  </si>
  <si>
    <t>linfeng.zha@student.mahidol.ac.th</t>
  </si>
  <si>
    <t>YISONG</t>
  </si>
  <si>
    <t>yisong.zha@student.mahidol.ac.th</t>
  </si>
  <si>
    <t>SUI</t>
  </si>
  <si>
    <t>sui.zho@student.mahidol.ac.th</t>
  </si>
  <si>
    <t>PHICHITPHANPHONG</t>
  </si>
  <si>
    <t>thanat.phi@student.mahidol.ac.th</t>
  </si>
  <si>
    <t>PUNN</t>
  </si>
  <si>
    <t>PANYANIRUN</t>
  </si>
  <si>
    <t>punn.pan@student.mahidol.ac.th</t>
  </si>
  <si>
    <t>PENPITCHAPA</t>
  </si>
  <si>
    <t>PANTARAKSAKUL</t>
  </si>
  <si>
    <t>penpitchapa.pan@student.mahidol.ac.th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</si>
  <si>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7496974C-CFCD-485A-BB22-59583CB4513E_PENPITCHAPA%20PANTARAK.jpeg</t>
  </si>
  <si>
    <t>MOOLKAEW</t>
  </si>
  <si>
    <t>jidapa.mol@student.mahidol.ac.th</t>
  </si>
  <si>
    <t>JEDSADA</t>
  </si>
  <si>
    <t>MEENOI</t>
  </si>
  <si>
    <t>jedsada.meo@student.mahidol.ac.th</t>
  </si>
  <si>
    <t>JARUSUTHIRUG</t>
  </si>
  <si>
    <t>thanawat.jau@student.mahidol.ac.th</t>
  </si>
  <si>
    <t>PONNAPASSORN</t>
  </si>
  <si>
    <t>IAMBORISUT</t>
  </si>
  <si>
    <t>ponnapassorn.iam@student.mahidol.ac.th</t>
  </si>
  <si>
    <t>SUKAN</t>
  </si>
  <si>
    <t>sukan.hua@student.mahidol.ac.th</t>
  </si>
  <si>
    <t>THADEEYA</t>
  </si>
  <si>
    <t>DUANGKAEW</t>
  </si>
  <si>
    <t>thadeeya.dua@student.mahidol.ac.th</t>
  </si>
  <si>
    <t>NATTANON</t>
  </si>
  <si>
    <t>CHAWANABENJAWOOT</t>
  </si>
  <si>
    <t>nattanon.chn@student.mahidol.ac.th</t>
  </si>
  <si>
    <t>JATENIPAT</t>
  </si>
  <si>
    <t>AUSANARASSAMEE</t>
  </si>
  <si>
    <t>jatenipat.aus@student.mahidol.ac.th</t>
  </si>
  <si>
    <t>RUNCHIDA</t>
  </si>
  <si>
    <t>ANANARTYASIT</t>
  </si>
  <si>
    <t>runchida.ana@student.mahidol.ac.th</t>
  </si>
  <si>
    <t>SANPHET</t>
  </si>
  <si>
    <t>SURAKOOL</t>
  </si>
  <si>
    <t>sanphet.sur@student.mahidol.ac.th</t>
  </si>
  <si>
    <t>PRAPAWARIN</t>
  </si>
  <si>
    <t>SUTAWAN</t>
  </si>
  <si>
    <t>prapawarin.sut@student.mahidol.ac.th</t>
  </si>
  <si>
    <t>TAYAPA</t>
  </si>
  <si>
    <t>SANTIPAP</t>
  </si>
  <si>
    <t>tayapa.san@student.mahidol.ac.th</t>
  </si>
  <si>
    <t>KUNACH</t>
  </si>
  <si>
    <t>SAMUTVANIT</t>
  </si>
  <si>
    <t>kunach.sam@student.mahidol.ac.th</t>
  </si>
  <si>
    <t>CHOMMAKORN</t>
  </si>
  <si>
    <t>SONTESADISAI</t>
  </si>
  <si>
    <t>chommakorn.son@student.mahidol.ac.th</t>
  </si>
  <si>
    <t>NATTANICHA</t>
  </si>
  <si>
    <t>SINSAWET</t>
  </si>
  <si>
    <t>nattanicha.sis@student.mahidol.ac.th</t>
  </si>
  <si>
    <t>POOHTANMAI</t>
  </si>
  <si>
    <t>SIRIWACHIRAPAP</t>
  </si>
  <si>
    <t>poohtanmai.sir@student.mahidol.ac.th</t>
  </si>
  <si>
    <t>NAPATSORN</t>
  </si>
  <si>
    <t>LUCHAICHANA</t>
  </si>
  <si>
    <t>napatsorn.luc@student.mahidol.ac.th</t>
  </si>
  <si>
    <t>RITILUECHAI</t>
  </si>
  <si>
    <t>thanapat.rit@student.mahidol.ac.th</t>
  </si>
  <si>
    <t>PRAKAIKEAW</t>
  </si>
  <si>
    <t>RATCHAWONGSA</t>
  </si>
  <si>
    <t>prakaikeaw.rat@student.mahidol.ac.th</t>
  </si>
  <si>
    <t>SARUTAYA</t>
  </si>
  <si>
    <t>sarutaya.yue@student.mahidol.ac.th</t>
  </si>
  <si>
    <t>WARITTHORN</t>
  </si>
  <si>
    <t>MAHASIRIPANYA</t>
  </si>
  <si>
    <t>waritthorn.mah@student.mahidol.ac.th</t>
  </si>
  <si>
    <t>PUNROD</t>
  </si>
  <si>
    <t>jidapa.pur@student.mahidol.ac.th</t>
  </si>
  <si>
    <t>KORNKAWEE</t>
  </si>
  <si>
    <t>PORNONSUNG</t>
  </si>
  <si>
    <t>kornkawee.por@student.mahidol.ac.th</t>
  </si>
  <si>
    <t>PIANGFA</t>
  </si>
  <si>
    <t>BOONKAEW</t>
  </si>
  <si>
    <t>piangfa.boo@student.mahidol.ac.th</t>
  </si>
  <si>
    <t>DUANGSATHAPORN</t>
  </si>
  <si>
    <t>jiratchaya.dun@student.mahidol.ac.th</t>
  </si>
  <si>
    <t>PHACHARAPHAN</t>
  </si>
  <si>
    <t>CHALITCHAIYA</t>
  </si>
  <si>
    <t>phacharaphan.cha@student.mahidol.ac.th</t>
  </si>
  <si>
    <t>CHOMPURAT</t>
  </si>
  <si>
    <t>pimmada.cho@student.mahidol.ac.th</t>
  </si>
  <si>
    <t>KULLAPAT</t>
  </si>
  <si>
    <t>JULLARERK</t>
  </si>
  <si>
    <t>kullapat.jul@student.mahidol.ac.th</t>
  </si>
  <si>
    <t>KRITCHANAPAT</t>
  </si>
  <si>
    <t>JUNJU</t>
  </si>
  <si>
    <t>kritchanapat.jun@student.mahidol.ac.th</t>
  </si>
  <si>
    <t>SARANPORN</t>
  </si>
  <si>
    <t>CHIRANAKORN</t>
  </si>
  <si>
    <t>saranporn.chi@student.mahidol.ac.th</t>
  </si>
  <si>
    <t>PHATTHRANIT</t>
  </si>
  <si>
    <t>JUNTRASIN</t>
  </si>
  <si>
    <t>phatthranit.jun@student.mahidol.ac.th</t>
  </si>
  <si>
    <t>NARITA</t>
  </si>
  <si>
    <t>CHADHA</t>
  </si>
  <si>
    <t>narita.cha@student.mahidol.ac.th</t>
  </si>
  <si>
    <t>RAVIKARN</t>
  </si>
  <si>
    <t>JARUNGJITVITTAWAS</t>
  </si>
  <si>
    <t>ravikarn.jar@student.mahidol.ac.th</t>
  </si>
  <si>
    <t>SIYAPHAT</t>
  </si>
  <si>
    <t>JONGPICHAIPHAT</t>
  </si>
  <si>
    <t>siyaphat.jon@student.mahidol.ac.th</t>
  </si>
  <si>
    <t>WINYOU</t>
  </si>
  <si>
    <t>NGAMSRIPHONGSAI</t>
  </si>
  <si>
    <t>winyou.nga@student.mahidol.ac.th</t>
  </si>
  <si>
    <t>PORNPROM</t>
  </si>
  <si>
    <t>KEWSUWAN</t>
  </si>
  <si>
    <t>pornprom.kew@student.mahidol.ac.th</t>
  </si>
  <si>
    <t>VORAMON</t>
  </si>
  <si>
    <t>KACHANUN</t>
  </si>
  <si>
    <t>voramon.kac@student.mahidol.ac.th</t>
  </si>
  <si>
    <t>KONGKAEWRASAMEE</t>
  </si>
  <si>
    <t>pongsakorn.kon@student.mahidol.ac.th</t>
  </si>
  <si>
    <t>KAEWSALABNIL</t>
  </si>
  <si>
    <t>noppakorn.kae@student.mahidol.ac.th</t>
  </si>
  <si>
    <t>PATTARADNAI</t>
  </si>
  <si>
    <t>KAEODUMKOENG</t>
  </si>
  <si>
    <t>pattaradnai.kae@student.mahidol.ac.th</t>
  </si>
  <si>
    <t>SATCHAYA</t>
  </si>
  <si>
    <t>AUASUKRUETHAIKUL</t>
  </si>
  <si>
    <t>satchaya.aua@student.mahidol.ac.th</t>
  </si>
  <si>
    <t>LAOHAPIENGSAK</t>
  </si>
  <si>
    <t>natthawat.lao@student.mahidol.ac.th</t>
  </si>
  <si>
    <t>THAI</t>
  </si>
  <si>
    <t>MEKRATANAVORAKUL</t>
  </si>
  <si>
    <t>thai.mek@student.mahidol.ac.th</t>
  </si>
  <si>
    <t>WISSARUT</t>
  </si>
  <si>
    <t>PHETSAI</t>
  </si>
  <si>
    <t>wissarut.phe@student.mahidol.ac.th</t>
  </si>
  <si>
    <t>NANTHAPHOP</t>
  </si>
  <si>
    <t>PETCHSRIUDOM</t>
  </si>
  <si>
    <t>nanthaphop.pet@student.mahidol.ac.th</t>
  </si>
  <si>
    <t>NATTHAKORN</t>
  </si>
  <si>
    <t>TAINKRUE</t>
  </si>
  <si>
    <t>natthakorn.tai@student.mahidol.ac.th</t>
  </si>
  <si>
    <t>KAMIN</t>
  </si>
  <si>
    <t>DECHOPANYAKUL</t>
  </si>
  <si>
    <t>kamin.dec@student.mahidol.ac.th</t>
  </si>
  <si>
    <t>NISAKORN</t>
  </si>
  <si>
    <t>NGAOSRI</t>
  </si>
  <si>
    <t>nisakorn.nga@student.mahidol.ac.th</t>
  </si>
  <si>
    <t>SORRAJAK</t>
  </si>
  <si>
    <t>AKKAHADSI</t>
  </si>
  <si>
    <t>0635541541</t>
  </si>
  <si>
    <t>sorrajak.akk@student.mahidol.ac.th</t>
  </si>
  <si>
    <t>THANYALAN</t>
  </si>
  <si>
    <t>AMORNLERTWIT</t>
  </si>
  <si>
    <t>0938698168</t>
  </si>
  <si>
    <t>thanyalan.amo@student.mahidol.ac.th</t>
  </si>
  <si>
    <t>NAPATKRIT</t>
  </si>
  <si>
    <t>ASAVAROJPANICH</t>
  </si>
  <si>
    <t>0816321990</t>
  </si>
  <si>
    <t>napatkrit.asa@student.mahidol.ac.th</t>
  </si>
  <si>
    <t>ENGAUGSORN</t>
  </si>
  <si>
    <t>AUGSORNTHOUNG</t>
  </si>
  <si>
    <t>0830113984</t>
  </si>
  <si>
    <t>engaugsorn.aug@student.mahidol.ac.th</t>
  </si>
  <si>
    <t>PORNPINIT</t>
  </si>
  <si>
    <t>AUPPATHAM</t>
  </si>
  <si>
    <t>0941012597</t>
  </si>
  <si>
    <t>pornpinit.aup@student.mahidol.ac.th</t>
  </si>
  <si>
    <t>PHENPITCHAYA</t>
  </si>
  <si>
    <t>BOONTHANOM</t>
  </si>
  <si>
    <t>0863922455</t>
  </si>
  <si>
    <t>phenpitchaya.boo@student.mahidol.ac.th</t>
  </si>
  <si>
    <t>JAKGUY</t>
  </si>
  <si>
    <t>BORIBOON</t>
  </si>
  <si>
    <t>0867109331</t>
  </si>
  <si>
    <t>jakguy.bor@student.mahidol.ac.th</t>
  </si>
  <si>
    <t>KONGPUM</t>
  </si>
  <si>
    <t>BUNKUEAKARUNRAK</t>
  </si>
  <si>
    <t>0813589301</t>
  </si>
  <si>
    <t>kongpum.bun@student.mahidol.ac.th</t>
  </si>
  <si>
    <t>JARUKIT</t>
  </si>
  <si>
    <t>BUNTHEANGJAI</t>
  </si>
  <si>
    <t>0859901616</t>
  </si>
  <si>
    <t>jarukit.bun@student.mahidol.ac.th</t>
  </si>
  <si>
    <t>TERAT</t>
  </si>
  <si>
    <t>BURAMI</t>
  </si>
  <si>
    <t>0994539941</t>
  </si>
  <si>
    <t>terat.bur@student.mahidol.ac.th</t>
  </si>
  <si>
    <t>PATSATHORN</t>
  </si>
  <si>
    <t>CHADBANTERNG</t>
  </si>
  <si>
    <t>0617691112</t>
  </si>
  <si>
    <t>patsathorn.cha@student.mahidol.ac.th</t>
  </si>
  <si>
    <t>PRAEWA</t>
  </si>
  <si>
    <t>CHAN-ON</t>
  </si>
  <si>
    <t>0631787081</t>
  </si>
  <si>
    <t>praewa.chn@student.mahidol.ac.th</t>
  </si>
  <si>
    <t>PHUBHADIN</t>
  </si>
  <si>
    <t>CHANSUNGNOEN</t>
  </si>
  <si>
    <t>0614503380</t>
  </si>
  <si>
    <t>phubhadin.cha@student.mahidol.ac.th</t>
  </si>
  <si>
    <t>KAMONNOP</t>
  </si>
  <si>
    <t>CHANTANYAKORN</t>
  </si>
  <si>
    <t>0993290675</t>
  </si>
  <si>
    <t>kamonnop.cha@student.mahidol.ac.th</t>
  </si>
  <si>
    <t>APISIT</t>
  </si>
  <si>
    <t>CHESCHARTPORNCHAI</t>
  </si>
  <si>
    <t>0968583731</t>
  </si>
  <si>
    <t>apisit.che@student.mahidol.ac.th</t>
  </si>
  <si>
    <t>SEANGPIN</t>
  </si>
  <si>
    <t>CHETHAMMARAT</t>
  </si>
  <si>
    <t>0949373937</t>
  </si>
  <si>
    <t>seangpin.che@student.mahidol.ac.th</t>
  </si>
  <si>
    <t>KRITIN</t>
  </si>
  <si>
    <t>CHITCHOBTHAM</t>
  </si>
  <si>
    <t>0899267446</t>
  </si>
  <si>
    <t>kritin.chi@student.mahidol.ac.th</t>
  </si>
  <si>
    <t>TANAKRIT</t>
  </si>
  <si>
    <t>CHOKJINDA</t>
  </si>
  <si>
    <t>0917897451</t>
  </si>
  <si>
    <t>tanakrit.cho@student.mahidol.ac.th</t>
  </si>
  <si>
    <t>PAKAPORN</t>
  </si>
  <si>
    <t>CHOKPIROON</t>
  </si>
  <si>
    <t>0864798865</t>
  </si>
  <si>
    <t>pakaporn.cho@student.mahidol.ac.th</t>
  </si>
  <si>
    <t>TANADHON</t>
  </si>
  <si>
    <t>DUMNERNPAN</t>
  </si>
  <si>
    <t>0968876645</t>
  </si>
  <si>
    <t>tanadhon.dum@student.mahidol.ac.th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</si>
  <si>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Duolingo%20English%20Test_TANADHON%20DUMNERNPAN.pdf</t>
  </si>
  <si>
    <t>SAKHUNICH</t>
  </si>
  <si>
    <t>IAMCHARAS</t>
  </si>
  <si>
    <t>0951342546</t>
  </si>
  <si>
    <t>sakhunich.iam@student.mahidol.ac.th</t>
  </si>
  <si>
    <t>SHALOM</t>
  </si>
  <si>
    <t>INCHOI</t>
  </si>
  <si>
    <t>105</t>
  </si>
  <si>
    <t>51</t>
  </si>
  <si>
    <t>54</t>
  </si>
  <si>
    <t>0863524484</t>
  </si>
  <si>
    <t>shalom.inc@student.mahidol.ac.th</t>
  </si>
  <si>
    <t>KANINPAT</t>
  </si>
  <si>
    <t>JANTHASRI</t>
  </si>
  <si>
    <t>0922805311</t>
  </si>
  <si>
    <t>kaninpat.jan@student.mahidol.ac.th</t>
  </si>
  <si>
    <t>YADA</t>
  </si>
  <si>
    <t>JARASVIJITKUL</t>
  </si>
  <si>
    <t>0922485868</t>
  </si>
  <si>
    <t>yada.jar@student.mahidol.ac.th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</si>
  <si>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71852DBA-8301-46C2-A8C6-5A4B4AEE3D47_YADA%20JARASVIJITKUL.jpeg</t>
  </si>
  <si>
    <t>PICHSINEE</t>
  </si>
  <si>
    <t>JARUSAWEE</t>
  </si>
  <si>
    <t>0957295700</t>
  </si>
  <si>
    <t>pichsinee.jar@student.mahidol.ac.th</t>
  </si>
  <si>
    <t>JINJUTHA</t>
  </si>
  <si>
    <t>JINDAPUNPAISAN</t>
  </si>
  <si>
    <t>0909215476</t>
  </si>
  <si>
    <t>jinjutha.jin@student.mahidol.ac.th</t>
  </si>
  <si>
    <t>PATHOMPUM</t>
  </si>
  <si>
    <t>JIRAKARNPAISAN</t>
  </si>
  <si>
    <t>0894614186</t>
  </si>
  <si>
    <t>pathompum.jir@student.mahidol.ac.th</t>
  </si>
  <si>
    <t>JIRATARANON</t>
  </si>
  <si>
    <t>0932461615</t>
  </si>
  <si>
    <t>napat.jir@student.mahidol.ac.th</t>
  </si>
  <si>
    <t>PANUSSAYA</t>
  </si>
  <si>
    <t>JITTANGTRONG</t>
  </si>
  <si>
    <t>0955171456</t>
  </si>
  <si>
    <t>panussaya.jit@student.mahidol.ac.th</t>
  </si>
  <si>
    <t>PHUDIS</t>
  </si>
  <si>
    <t>JITTIWONGSAMARN</t>
  </si>
  <si>
    <t>0972377495</t>
  </si>
  <si>
    <t>phudis.jit@student.mahidol.ac.th</t>
  </si>
  <si>
    <t>JONSOMJID</t>
  </si>
  <si>
    <t>0940706717</t>
  </si>
  <si>
    <t>chanisara.jon@student.mahidol.ac.th</t>
  </si>
  <si>
    <t>JAKKAPHAT</t>
  </si>
  <si>
    <t>JUMRATBOONSOM</t>
  </si>
  <si>
    <t>0957969989</t>
  </si>
  <si>
    <t>jakkaphat.jum@student.mahidol.ac.th</t>
  </si>
  <si>
    <t>KORNTOUCH</t>
  </si>
  <si>
    <t>KAEWSAKULTHONG</t>
  </si>
  <si>
    <t>0952760289</t>
  </si>
  <si>
    <t>korntouch.kae@student.mahidol.ac.th</t>
  </si>
  <si>
    <t>ITTHISAK</t>
  </si>
  <si>
    <t>KAMJORNSOJIWAT</t>
  </si>
  <si>
    <t>0944343448</t>
  </si>
  <si>
    <t>itthisak.kam@student.mahidol.ac.th</t>
  </si>
  <si>
    <t>JIRAKIT</t>
  </si>
  <si>
    <t>KANJANAWARAPORN</t>
  </si>
  <si>
    <t>0924199422</t>
  </si>
  <si>
    <t>jirakit.kan@student.mahidol.ac.th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</si>
  <si>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A3989FF9-A22D-4417-BBA6-002A93178047_JIRAKIT%20KANJANAWARAP.jpeg</t>
  </si>
  <si>
    <t>KANNO</t>
  </si>
  <si>
    <t>0902836136</t>
  </si>
  <si>
    <t>tawan.kao@student.mahidol.ac.th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</si>
  <si>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IELTS%20Test%20Report_TAWAN%20KANNO.pdf</t>
  </si>
  <si>
    <t>CHAYOOTPONE</t>
  </si>
  <si>
    <t>KAWEETRAIPHOP</t>
  </si>
  <si>
    <t>0909517997</t>
  </si>
  <si>
    <t>chayootpone.kaw@student.mahidol.ac.th</t>
  </si>
  <si>
    <t>RATTANAPOL</t>
  </si>
  <si>
    <t>KEAW-EAIM</t>
  </si>
  <si>
    <t>0830137349</t>
  </si>
  <si>
    <t>ratanapol.kea@student.mahidol.ac.th</t>
  </si>
  <si>
    <t>KENGKAEWPENNAPA</t>
  </si>
  <si>
    <t>0617786139</t>
  </si>
  <si>
    <t>chalisa.keg@student.mahidol.ac.th</t>
  </si>
  <si>
    <t>NINTAWA</t>
  </si>
  <si>
    <t>KENYOTA</t>
  </si>
  <si>
    <t>0958947493</t>
  </si>
  <si>
    <t>nintawa.ken@student.mahidol.ac.th</t>
  </si>
  <si>
    <t>NUNTAPOP</t>
  </si>
  <si>
    <t>KHEAWTHANONG</t>
  </si>
  <si>
    <t>0973076255</t>
  </si>
  <si>
    <t>nuntapob.khe@student.mahidol.ac.th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</si>
  <si>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Duolingo%20English%20Test_NUNTAPOB%20KHEAWTANONG.pdf</t>
  </si>
  <si>
    <t>RACHAPHON</t>
  </si>
  <si>
    <t>KHUMSAP</t>
  </si>
  <si>
    <t>0944151414</t>
  </si>
  <si>
    <t>rachaphon.khu@student.mahidol.ac.th</t>
  </si>
  <si>
    <t>KASAMA</t>
  </si>
  <si>
    <t>KIATAPAKUL</t>
  </si>
  <si>
    <t>0972133786</t>
  </si>
  <si>
    <t>kasama.kia@student.mahidol.ac.th</t>
  </si>
  <si>
    <t>TONNAM</t>
  </si>
  <si>
    <t>KIEWSOPHON</t>
  </si>
  <si>
    <t>0618588992</t>
  </si>
  <si>
    <t>tonnam.kie@student.mahidol.ac.th</t>
  </si>
  <si>
    <t>PATSAWAT</t>
  </si>
  <si>
    <t>KITTIPUNTHOPAST</t>
  </si>
  <si>
    <t>0957200027</t>
  </si>
  <si>
    <t>patsawat.kit@student.mahidol.ac.th</t>
  </si>
  <si>
    <t>POONYAWATT</t>
  </si>
  <si>
    <t>KLUMNAIM</t>
  </si>
  <si>
    <t>0881060571</t>
  </si>
  <si>
    <t>poonyawatt.klu@student.mahidol.ac.th</t>
  </si>
  <si>
    <t>POONNAPA</t>
  </si>
  <si>
    <t>KONGKHUM</t>
  </si>
  <si>
    <t>0917420043</t>
  </si>
  <si>
    <t>poonnapa.kon@student.mahidol.ac.th</t>
  </si>
  <si>
    <t>ORNJIRA</t>
  </si>
  <si>
    <t>KORSAKPAISARN</t>
  </si>
  <si>
    <t>0805451694</t>
  </si>
  <si>
    <t>ornjira.kor@student.mahidol.ac.th</t>
  </si>
  <si>
    <t>BENJAPHOL</t>
  </si>
  <si>
    <t>KOSITANON</t>
  </si>
  <si>
    <t>0982517682</t>
  </si>
  <si>
    <t>benjaphol.kos@student.mahidol.ac.th</t>
  </si>
  <si>
    <t>SANHANUT</t>
  </si>
  <si>
    <t>KUNGWOLNGAN</t>
  </si>
  <si>
    <t>0811605982</t>
  </si>
  <si>
    <t>sanhanut.kun@student.mahidol.ac.th</t>
  </si>
  <si>
    <t>PHOONAWIT</t>
  </si>
  <si>
    <t>LERTCHANARUANGRIT</t>
  </si>
  <si>
    <t>0974599479</t>
  </si>
  <si>
    <t>phoonawit.ler@student.mahidol.ac.th</t>
  </si>
  <si>
    <t>PAVIT</t>
  </si>
  <si>
    <t>LERTPIROMLAK</t>
  </si>
  <si>
    <t>0982488055</t>
  </si>
  <si>
    <t>pavit.ler@student.mahidol.ac.th</t>
  </si>
  <si>
    <t>SASIKAN</t>
  </si>
  <si>
    <t>LUANGTHEPNIWAN</t>
  </si>
  <si>
    <t>0925658005</t>
  </si>
  <si>
    <t>sasikarn.lun@student.mahidol.ac.th</t>
  </si>
  <si>
    <t>RADCHANEEKORN</t>
  </si>
  <si>
    <t>MAHANIL</t>
  </si>
  <si>
    <t>0993462415</t>
  </si>
  <si>
    <t>radchaneekorn.mah@student.mahidol.ac.th</t>
  </si>
  <si>
    <t>NANTIPAT</t>
  </si>
  <si>
    <t>MANEERATTANAPORN</t>
  </si>
  <si>
    <t>0819233884</t>
  </si>
  <si>
    <t>nantipat.man@student.mahidol.ac.th</t>
  </si>
  <si>
    <t>NATCHAPOL</t>
  </si>
  <si>
    <t>MINGMAHAPHAN</t>
  </si>
  <si>
    <t>0886833111</t>
  </si>
  <si>
    <t>natchapol.min@student.mahidol.ac.th</t>
  </si>
  <si>
    <t>MONGKHONWATCHARAPHUN</t>
  </si>
  <si>
    <t>0949628952</t>
  </si>
  <si>
    <t>phusit.mon@student.mahidol.ac.th</t>
  </si>
  <si>
    <t>SARUTA</t>
  </si>
  <si>
    <t>NAKRO</t>
  </si>
  <si>
    <t>0851297004</t>
  </si>
  <si>
    <t>saruta.nak@student.mahidol.ac.th</t>
  </si>
  <si>
    <t>VICHAYUTH</t>
  </si>
  <si>
    <t>NGAMSITTIPONG</t>
  </si>
  <si>
    <t>0619834446</t>
  </si>
  <si>
    <t>vichayuth.nga@student.mahidol.ac.th</t>
  </si>
  <si>
    <t>THANACHOT</t>
  </si>
  <si>
    <t>ONLAMOON</t>
  </si>
  <si>
    <t>0826254154</t>
  </si>
  <si>
    <t>thanachot.onl@student.mahidol.ac.th</t>
  </si>
  <si>
    <t>MUTHITA</t>
  </si>
  <si>
    <t>PAKDEEMONTHON</t>
  </si>
  <si>
    <t>0830611447</t>
  </si>
  <si>
    <t>muthita.pak@student.mahidol.ac.th</t>
  </si>
  <si>
    <t>PATARAPORN</t>
  </si>
  <si>
    <t>PENPARGKUL</t>
  </si>
  <si>
    <t>0993295557</t>
  </si>
  <si>
    <t>pataraporn.pen@student.mahidol.ac.th</t>
  </si>
  <si>
    <t>KRITTHANUCH</t>
  </si>
  <si>
    <t>PUENGPA</t>
  </si>
  <si>
    <t>0891194528</t>
  </si>
  <si>
    <t>kritthanuuch.peu@student.mahidol.ac.th</t>
  </si>
  <si>
    <t>MANASAWAN</t>
  </si>
  <si>
    <t>PEWNOUL</t>
  </si>
  <si>
    <t>0982817303</t>
  </si>
  <si>
    <t>manasawan.pen@student.mahidol.ac.th</t>
  </si>
  <si>
    <t>HARITH</t>
  </si>
  <si>
    <t>PHALANGPATANAKIJ</t>
  </si>
  <si>
    <t>0896653890</t>
  </si>
  <si>
    <t>harith.pha@student.mahidol.ac.th</t>
  </si>
  <si>
    <t>WASUNTHA</t>
  </si>
  <si>
    <t>PHANPANICH</t>
  </si>
  <si>
    <t>0951780253</t>
  </si>
  <si>
    <t>wasuntha.pha@student.mahidol.ac.th</t>
  </si>
  <si>
    <t>PHANTHIRA</t>
  </si>
  <si>
    <t>PHANSEN</t>
  </si>
  <si>
    <t>0990623311</t>
  </si>
  <si>
    <t>phanthira.pha@student.mahidol.ac.th</t>
  </si>
  <si>
    <t>NAKARIN</t>
  </si>
  <si>
    <t>PHOORAHONG</t>
  </si>
  <si>
    <t>0634460792</t>
  </si>
  <si>
    <t>nakarin.pho@student.mahidol.ac.th</t>
  </si>
  <si>
    <t>THAREERAT</t>
  </si>
  <si>
    <t>PHOTHITHAM</t>
  </si>
  <si>
    <t>0995412060</t>
  </si>
  <si>
    <t>thareerat.pho@student.mahidol.ac.th</t>
  </si>
  <si>
    <t>PHAKPHOP</t>
  </si>
  <si>
    <t>PHUNPHOEM</t>
  </si>
  <si>
    <t>0637523405</t>
  </si>
  <si>
    <t>phakphop.phu@student.mahidol.ac.th</t>
  </si>
  <si>
    <t>NATTAPHAT</t>
  </si>
  <si>
    <t>PINTIP</t>
  </si>
  <si>
    <t>0934898201</t>
  </si>
  <si>
    <t>nattapat.pin@student.mahidol.ac.th</t>
  </si>
  <si>
    <t>PATHU</t>
  </si>
  <si>
    <t>PIPITPONG</t>
  </si>
  <si>
    <t>926159939</t>
  </si>
  <si>
    <t>pathu.pip@student.mahidol.ac.th</t>
  </si>
  <si>
    <t>PIRIYAPANYAPORN</t>
  </si>
  <si>
    <t>0972599991</t>
  </si>
  <si>
    <t>sorawit.pir@student.mahidol.ac.th</t>
  </si>
  <si>
    <t>PEESAMA</t>
  </si>
  <si>
    <t>0917169723</t>
  </si>
  <si>
    <t>peesama.poh@student.mahidol.ac.th</t>
  </si>
  <si>
    <t>SUPPAKORN</t>
  </si>
  <si>
    <t>POJSOMPHONG</t>
  </si>
  <si>
    <t>0972460494</t>
  </si>
  <si>
    <t>suppakorn.poj@student.mahidol.ac.th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</si>
  <si>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MUELT%20score%20certificate_SUPPAKORN%20POJSOMPHON.png</t>
  </si>
  <si>
    <t>CHAIYAKRIT</t>
  </si>
  <si>
    <t>POKAWANIT</t>
  </si>
  <si>
    <t>0634515991</t>
  </si>
  <si>
    <t>chaiyakrit.pok@student.mahidol.ac.th</t>
  </si>
  <si>
    <t>POOTTAPOL</t>
  </si>
  <si>
    <t>POONNA</t>
  </si>
  <si>
    <t>0631902995</t>
  </si>
  <si>
    <t>poottapol.poo@student.mahidol.ac.th</t>
  </si>
  <si>
    <t>TIPPARAT</t>
  </si>
  <si>
    <t>PORNSIRIRAT</t>
  </si>
  <si>
    <t>0656049248</t>
  </si>
  <si>
    <t>tipparat.por@student.mahidol.ac.th</t>
  </si>
  <si>
    <t>PHANPHUM</t>
  </si>
  <si>
    <t>PRATHUMSUWAN</t>
  </si>
  <si>
    <t>0805952200</t>
  </si>
  <si>
    <t>phanphum.pra@student.mahidol.ac.th</t>
  </si>
  <si>
    <t>PUNNAVIT</t>
  </si>
  <si>
    <t>AMATASRIPRASERT</t>
  </si>
  <si>
    <t>0955451519</t>
  </si>
  <si>
    <t>punnavit.ama@student.mahidol.ac.th</t>
  </si>
  <si>
    <t>TANASUB</t>
  </si>
  <si>
    <t>RATTANAHARIRAK</t>
  </si>
  <si>
    <t>0958198111</t>
  </si>
  <si>
    <t>tanasub.rat@student.mahidol.ac.th</t>
  </si>
  <si>
    <t>CHAWANAKORN</t>
  </si>
  <si>
    <t>RITTIRUT</t>
  </si>
  <si>
    <t>0889922516</t>
  </si>
  <si>
    <t>chawanakorn.rit@student.mahidol.ac.th</t>
  </si>
  <si>
    <t>ATICHANAN</t>
  </si>
  <si>
    <t>RODUSA</t>
  </si>
  <si>
    <t>0971592036</t>
  </si>
  <si>
    <t>atichanan.rod@student.mahidol.ac.th</t>
  </si>
  <si>
    <t>ANAVINN</t>
  </si>
  <si>
    <t>RUJITHANYAPAT</t>
  </si>
  <si>
    <t>0655165993</t>
  </si>
  <si>
    <t>anavinn.ruj@student.mahidol.ac.th</t>
  </si>
  <si>
    <t>YAOWAPA</t>
  </si>
  <si>
    <t>SABKASEDKID</t>
  </si>
  <si>
    <t>0891037923</t>
  </si>
  <si>
    <t>yaowapa.sab@student.mahidol.ac.th</t>
  </si>
  <si>
    <t>EAKBODIN</t>
  </si>
  <si>
    <t>KANJANAMUENGTONG</t>
  </si>
  <si>
    <t>0894774810</t>
  </si>
  <si>
    <t>eakbodin.sal@student.mahidol.ac.th</t>
  </si>
  <si>
    <t>THANA</t>
  </si>
  <si>
    <t>SANGIUMKOKGROAD</t>
  </si>
  <si>
    <t>0967908686</t>
  </si>
  <si>
    <t>thana.san@student.mahidol.ac.th</t>
  </si>
  <si>
    <t>YOTSAWAN</t>
  </si>
  <si>
    <t>SANGKAVAREE</t>
  </si>
  <si>
    <t>0823939451</t>
  </si>
  <si>
    <t>yotsawan.san@student.mahidol.ac.th</t>
  </si>
  <si>
    <t>VEERAPAT</t>
  </si>
  <si>
    <t>SANGPUTNGOENTANA</t>
  </si>
  <si>
    <t>0814529315</t>
  </si>
  <si>
    <t>veerapat.san@student.mahidol.ac.th</t>
  </si>
  <si>
    <t>SIRINAPAT</t>
  </si>
  <si>
    <t>SANSANAPITAYAKORN</t>
  </si>
  <si>
    <t>0979516691</t>
  </si>
  <si>
    <t>sirinapat.san@student.mahidol.ac.th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</si>
  <si>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Screenshot%202566-03-20%20at%2021.40.04_SIRINAPAT%20SANSANAPIT.png</t>
  </si>
  <si>
    <t>KUEAKUL</t>
  </si>
  <si>
    <t>SARAKHUN</t>
  </si>
  <si>
    <t>0988726650</t>
  </si>
  <si>
    <t>kueakul.sar@student.mahidol.ac.th</t>
  </si>
  <si>
    <t>THITAPHA</t>
  </si>
  <si>
    <t>SINGTHO</t>
  </si>
  <si>
    <t>0924474044</t>
  </si>
  <si>
    <t>thitapha.sin@student.mahidol.ac.th</t>
  </si>
  <si>
    <t>SITHIMONGKOL</t>
  </si>
  <si>
    <t>0952855262</t>
  </si>
  <si>
    <t>kong.sit@student.mahidol.ac.th</t>
  </si>
  <si>
    <t>PANIPAK</t>
  </si>
  <si>
    <t>SITTIPRASERT</t>
  </si>
  <si>
    <t>0824481548</t>
  </si>
  <si>
    <t>panipak.sii@student.mahidol.ac.th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</si>
  <si>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6588096_Doulingo%20score_PANIPAK%20SITTIPRASERT.pdf</t>
  </si>
  <si>
    <t>RATCHABHOL</t>
  </si>
  <si>
    <t>SONGSERM</t>
  </si>
  <si>
    <t>0810184525</t>
  </si>
  <si>
    <t>ratchabhol.son@student.mahidol.ac.th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</si>
  <si>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6588097%20Ratchabhol%20Songserm%20Duolingo%20Certific_RATCHABHOL%20SONGSERM.pdf</t>
  </si>
  <si>
    <t>NAPASSAWAN</t>
  </si>
  <si>
    <t>SONJATE</t>
  </si>
  <si>
    <t>0652791794</t>
  </si>
  <si>
    <t>napassawan.soj@student.mahidol.ac.th</t>
  </si>
  <si>
    <t>LUXXIGA</t>
  </si>
  <si>
    <t>SRICHAI</t>
  </si>
  <si>
    <t>0634215906</t>
  </si>
  <si>
    <t>luxziga.sri@student.mahidol.ac.th</t>
  </si>
  <si>
    <t>PATTHARACHAI</t>
  </si>
  <si>
    <t>CHAIWATTANAPORN</t>
  </si>
  <si>
    <t>0621415545</t>
  </si>
  <si>
    <t>pattharachai.cha@student.mahidol.ac.th</t>
  </si>
  <si>
    <t>KAWIN</t>
  </si>
  <si>
    <t>SURAKUPT</t>
  </si>
  <si>
    <t>0820214927</t>
  </si>
  <si>
    <t>kawin.sur@student.mahidol.ac.th</t>
  </si>
  <si>
    <t>DANAI</t>
  </si>
  <si>
    <t>SUWANTANEE</t>
  </si>
  <si>
    <t>0859190619</t>
  </si>
  <si>
    <t>danai.suw@student.mahidol.ac.th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</si>
  <si>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1D748B61-AC57-449C-9CFC-951E4C2E54EB_DANAI%20SUWANTANEE.png</t>
  </si>
  <si>
    <t>PATIPARN</t>
  </si>
  <si>
    <t>TANGMONGKOLPAISAN</t>
  </si>
  <si>
    <t>0850469990</t>
  </si>
  <si>
    <t>patiparn.tan@student.mahidol.ac.th</t>
  </si>
  <si>
    <t>PONGPON</t>
  </si>
  <si>
    <t>TANGPIGULTHONG</t>
  </si>
  <si>
    <t>0864001465</t>
  </si>
  <si>
    <t>pongpon.tan@student.mahidol.ac.th</t>
  </si>
  <si>
    <t>PRAN</t>
  </si>
  <si>
    <t>TANTIPIWATANASKUL</t>
  </si>
  <si>
    <t>0896679496</t>
  </si>
  <si>
    <t>pran.tan@student.mahidol.ac.th</t>
  </si>
  <si>
    <t>ARBHICHAR</t>
  </si>
  <si>
    <t>THANAJIRAWAT</t>
  </si>
  <si>
    <t>0925936141</t>
  </si>
  <si>
    <t>arbhichar.tha@student.mahidol.ac.th</t>
  </si>
  <si>
    <t>APIVICH</t>
  </si>
  <si>
    <t>PREEDAARKARAPHUN</t>
  </si>
  <si>
    <t>0944516549</t>
  </si>
  <si>
    <t>apivich.pre@student.mahidol.ac.th</t>
  </si>
  <si>
    <t>ARUS</t>
  </si>
  <si>
    <t>THIENMEE</t>
  </si>
  <si>
    <t>0814518216</t>
  </si>
  <si>
    <t>arus.thi@student.mahidol.ac.th</t>
  </si>
  <si>
    <t>THANNATORN</t>
  </si>
  <si>
    <t>THONGSUK</t>
  </si>
  <si>
    <t>0624248179</t>
  </si>
  <si>
    <t>thannatorn.tho@student.mahidol.ac.th</t>
  </si>
  <si>
    <t>PANYA</t>
  </si>
  <si>
    <t>TRAKOOLGERNTONG</t>
  </si>
  <si>
    <t>0924431222</t>
  </si>
  <si>
    <t>panya.tra@student.mahidol.ac.th</t>
  </si>
  <si>
    <t>PONGKRIT</t>
  </si>
  <si>
    <t>UBONTAM</t>
  </si>
  <si>
    <t>0840389590</t>
  </si>
  <si>
    <t>pongkrit.ubo@student.mahidol.ac.th</t>
  </si>
  <si>
    <t>KITTINAT</t>
  </si>
  <si>
    <t>UDARWUDHIPONG</t>
  </si>
  <si>
    <t>0624596541</t>
  </si>
  <si>
    <t>kittinat.uda@student.mahidol.ac.th</t>
  </si>
  <si>
    <t>RATANAWIJARN</t>
  </si>
  <si>
    <t>0926079922</t>
  </si>
  <si>
    <t>wachirawit.raa@student.mahidol.ac.th</t>
  </si>
  <si>
    <t>PHONLAPAT</t>
  </si>
  <si>
    <t>URAIRONG</t>
  </si>
  <si>
    <t>0624108803</t>
  </si>
  <si>
    <t>phonlapat.uri@student.mahidol.ac.th</t>
  </si>
  <si>
    <t>SUPAKORN</t>
  </si>
  <si>
    <t>WATHANYUSAKUL</t>
  </si>
  <si>
    <t>0804355498</t>
  </si>
  <si>
    <t>supakorn.wah@student.mahidol.ac.th</t>
  </si>
  <si>
    <t>NUTTIPONG</t>
  </si>
  <si>
    <t>WATTANABOONMA</t>
  </si>
  <si>
    <t>0931371689</t>
  </si>
  <si>
    <t>nuttipong.wat@student.mahidol.ac.th</t>
  </si>
  <si>
    <t>PORNPATCHARA</t>
  </si>
  <si>
    <t>WATTANANAN</t>
  </si>
  <si>
    <t>0877071818</t>
  </si>
  <si>
    <t>pornpatchara.wat@student.mahidol.ac.th</t>
  </si>
  <si>
    <t>NANTAPAT</t>
  </si>
  <si>
    <t>WATTANASUTTIWONG</t>
  </si>
  <si>
    <t>0909616295</t>
  </si>
  <si>
    <t>nantapat.wat@student.mahidol.ac.th</t>
  </si>
  <si>
    <t>RATTANON</t>
  </si>
  <si>
    <t>YANYONGWEROJ</t>
  </si>
  <si>
    <t>0631950646</t>
  </si>
  <si>
    <t>rattanon.yan@student.mahidol.ac.th</t>
  </si>
  <si>
    <t>YOOSUKDEE</t>
  </si>
  <si>
    <t>0971312235</t>
  </si>
  <si>
    <t>natchaya.yoo@student.mahidol.ac.th</t>
  </si>
  <si>
    <t>ZIYAN</t>
  </si>
  <si>
    <t>0000000000</t>
  </si>
  <si>
    <t>ziyan.che@student.mahidol.ac.th</t>
  </si>
  <si>
    <t>WEIXIAN</t>
  </si>
  <si>
    <t>000000000</t>
  </si>
  <si>
    <t>weixian.den@student.mahidol.ac.th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</si>
  <si>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https://studentmahidolac.sharepoint.com/sites/AcademicTeam603/Shared%20Documents/%E0%B9%81%E0%B8%AD%E0%B8%9B/Microsoft%20Forms/English%20Proficiency%20Test%20for%20Graduation%20-%20English/Please%20attached%20the%20original%20score%20certificate/IELTS_WEIXIAN%20DENG.pdf</t>
  </si>
  <si>
    <t>YUETONG</t>
  </si>
  <si>
    <t>yuetong.guo@student.mahidol.ac.th</t>
  </si>
  <si>
    <t>YANTONG</t>
  </si>
  <si>
    <t>HE</t>
  </si>
  <si>
    <t>yantong.he@student.mahidol.ac.th</t>
  </si>
  <si>
    <t>SILING</t>
  </si>
  <si>
    <t>siling.wan@student.mahidol.ac.th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</si>
  <si>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A321686C-B26F-4B97-8A0B-A494CA73A2FD_SILING%20WANG.jpeg</t>
  </si>
  <si>
    <t>JIAHUI</t>
  </si>
  <si>
    <t>WU</t>
  </si>
  <si>
    <t>jiahui.wu@student.mahidol.ac.th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</si>
  <si>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%E8%AF%81%E4%B9%A6_JIAHUI%20WU.pdf</t>
  </si>
  <si>
    <t>JUNXU</t>
  </si>
  <si>
    <t>YE</t>
  </si>
  <si>
    <t>junxu.ye@student.mahidol.ac.th</t>
  </si>
  <si>
    <t>JUNHAO</t>
  </si>
  <si>
    <t>junhao.zhn@student.mahidol.ac.th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</si>
  <si>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01B9F9BA-08B0-4AF5-BC6D-69585E59A836_JUNHAO%20ZHANG.jpeg</t>
  </si>
  <si>
    <t>ZHENGHAO</t>
  </si>
  <si>
    <t>zhenghao.zho@student.mahidol.ac.th</t>
  </si>
  <si>
    <t>SUPHATCHAYA</t>
  </si>
  <si>
    <t>AICHUM</t>
  </si>
  <si>
    <t>0643520873</t>
  </si>
  <si>
    <t>suphatchaya.aic@student.mahidol.ac.th</t>
  </si>
  <si>
    <t>RAWIROT</t>
  </si>
  <si>
    <t>BHASIDCHIRAPIROCH</t>
  </si>
  <si>
    <t>0648131412</t>
  </si>
  <si>
    <t>raweerot.bha@student.mahidol.ac.th</t>
  </si>
  <si>
    <t>KASIDACH</t>
  </si>
  <si>
    <t>BOONCHU</t>
  </si>
  <si>
    <t>0624944916</t>
  </si>
  <si>
    <t>kasidat.boo@student.mahidol.ac.th</t>
  </si>
  <si>
    <t>BUSABONG</t>
  </si>
  <si>
    <t>0621190440</t>
  </si>
  <si>
    <t>thanakorn.bus@student.mahidol.ac.th</t>
  </si>
  <si>
    <t>JITMUN</t>
  </si>
  <si>
    <t>0963052221</t>
  </si>
  <si>
    <t>thanakrit.jit@student.mahidol.ac.th</t>
  </si>
  <si>
    <t>CHISSANUPONG</t>
  </si>
  <si>
    <t>KHAMNUNG</t>
  </si>
  <si>
    <t>0632595466</t>
  </si>
  <si>
    <t>chissanupong.kha@student.mahidol.ac.th</t>
  </si>
  <si>
    <t>PROMMUL</t>
  </si>
  <si>
    <t>0954321149</t>
  </si>
  <si>
    <t>krittin.pro@student.mahidol.ac.th</t>
  </si>
  <si>
    <t>NAKUN</t>
  </si>
  <si>
    <t>SUNTISHUNTORNKUL</t>
  </si>
  <si>
    <t>0955819447</t>
  </si>
  <si>
    <t>nagun.san@student.mahidol.ac.th</t>
  </si>
  <si>
    <t>PUNNUT</t>
  </si>
  <si>
    <t>SAWETWANNAKUL</t>
  </si>
  <si>
    <t>0800324976</t>
  </si>
  <si>
    <t>punnut.saw@student.mahidol.ac.th</t>
  </si>
  <si>
    <t>PANUPONG</t>
  </si>
  <si>
    <t>SRISAWATDIKUL</t>
  </si>
  <si>
    <t>0909947494</t>
  </si>
  <si>
    <t>panupong.srs@student.mahidol.ac.th</t>
  </si>
  <si>
    <t>WIPHAALONGKOT</t>
  </si>
  <si>
    <t>0852391009</t>
  </si>
  <si>
    <t>nuttida.wih@student.mahidol.ac.th</t>
  </si>
  <si>
    <t>BHURINAT</t>
  </si>
  <si>
    <t>KANCHANASUWAN</t>
  </si>
  <si>
    <t>0955953398</t>
  </si>
  <si>
    <t>bhurinat.kan@student.mahidol.ac.th</t>
  </si>
  <si>
    <t>JINNIPA</t>
  </si>
  <si>
    <t>LEEPONG</t>
  </si>
  <si>
    <t>0943403999</t>
  </si>
  <si>
    <t>jinnipa.lee@student.mahidol.ac.th</t>
  </si>
  <si>
    <t>ANECHA</t>
  </si>
  <si>
    <t>PRASOBVITTAYA</t>
  </si>
  <si>
    <t>0970012431</t>
  </si>
  <si>
    <t>anecha.pra@student.mahidol.ac.th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</si>
  <si>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IMG_5387_ANECHA%20PRASOBVITTAYA.jpg</t>
  </si>
  <si>
    <t>PAWAT</t>
  </si>
  <si>
    <t>SUKKASEM</t>
  </si>
  <si>
    <t>0949653389</t>
  </si>
  <si>
    <t>pawat.suk@student.mahidol.ac.th</t>
  </si>
  <si>
    <t>ALEENTA</t>
  </si>
  <si>
    <t>TANGCHAROENSUKWONG</t>
  </si>
  <si>
    <t>0948175577</t>
  </si>
  <si>
    <t>aleenta.tan@student.mahidol.ac.th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</si>
  <si>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https://studentmahidolac.sharepoint.com/sites/AcademicTeam603/Shared%20Documents/%E0%B9%81%E0%B8%AD%E0%B8%9B/Microsoft%20Forms/English%20Proficiency%20Test%20for%20Graduation%20-%20English/Please%20attached%20the%20original%20score%20certificate/IELTS_ALEENTA%20TANGCHAROENS.jpeg</t>
  </si>
  <si>
    <t>TANTISAK</t>
  </si>
  <si>
    <t>0935759040</t>
  </si>
  <si>
    <t>kantapon.tan@student.mahidol.ac.th</t>
  </si>
  <si>
    <t>THONGRATTANA</t>
  </si>
  <si>
    <t>0970673007</t>
  </si>
  <si>
    <t>nattapat.tho@student.mahidol.ac.th</t>
  </si>
  <si>
    <t>THONTHAN</t>
  </si>
  <si>
    <t>ARUNYAWAS</t>
  </si>
  <si>
    <t>0615351889</t>
  </si>
  <si>
    <t>thonthan.aru@student.mahidol.ac.th</t>
  </si>
  <si>
    <t>JESADAKOM</t>
  </si>
  <si>
    <t>CHEERANORAVANICH</t>
  </si>
  <si>
    <t>0985140078</t>
  </si>
  <si>
    <t>jesadakom.che@student.mahidol.ac.th</t>
  </si>
  <si>
    <t>CHOLKULJANA</t>
  </si>
  <si>
    <t>0815752175</t>
  </si>
  <si>
    <t>napat.chl@student.mahidol.ac.th</t>
  </si>
  <si>
    <t>VICHAYA</t>
  </si>
  <si>
    <t>CHONGTHANAPIPAT</t>
  </si>
  <si>
    <t>0917219717</t>
  </si>
  <si>
    <t>vichaya.cho@student.mahidol.ac.th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</si>
  <si>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IELTS%20Overall_VICHAYA%20CHONGTHANAPI%201.pdf</t>
  </si>
  <si>
    <t>CHA-NANPHIMON</t>
  </si>
  <si>
    <t>CHUNCHAOWARIT</t>
  </si>
  <si>
    <t>0818571645</t>
  </si>
  <si>
    <t>chananphimon.chu@student.mahidol.ac.th</t>
  </si>
  <si>
    <t>PETEINGTHANIN</t>
  </si>
  <si>
    <t>HAJUMPEE</t>
  </si>
  <si>
    <t>0958801333</t>
  </si>
  <si>
    <t>peteingthanin.haj@student.mahidol.ac.th</t>
  </si>
  <si>
    <t>THANOP</t>
  </si>
  <si>
    <t>HETRAKUL</t>
  </si>
  <si>
    <t>0822231827</t>
  </si>
  <si>
    <t>thanop.het@student.mahidol.ac.th</t>
  </si>
  <si>
    <t>YANAPHAT</t>
  </si>
  <si>
    <t>JAMPABUREE</t>
  </si>
  <si>
    <t>0816290765</t>
  </si>
  <si>
    <t>yanaphat.jum@student.mahidol.ac.th</t>
  </si>
  <si>
    <t>PARKAIT</t>
  </si>
  <si>
    <t>KAITTICHAROON</t>
  </si>
  <si>
    <t>0972648086</t>
  </si>
  <si>
    <t>parkait.kai@student.mahidol.ac.th</t>
  </si>
  <si>
    <t>THITIWAN</t>
  </si>
  <si>
    <t>KEATTITAT</t>
  </si>
  <si>
    <t>0656656688</t>
  </si>
  <si>
    <t>thitiwan.kea@student.mahidol.ac.th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</si>
  <si>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AC29B48C-2858-4E76-B278-642B09AFB6BC_THITIWAN%20KEATTITAT.png</t>
  </si>
  <si>
    <t>PAKJIRA</t>
  </si>
  <si>
    <t>KHARPHOLDEE</t>
  </si>
  <si>
    <t>0970812270</t>
  </si>
  <si>
    <t>pakjira.kha@student.mahidol.ac.th</t>
  </si>
  <si>
    <t>SUWICHADA</t>
  </si>
  <si>
    <t>KIEWWONG</t>
  </si>
  <si>
    <t>0632090854</t>
  </si>
  <si>
    <t>suwichada.kie@student.mahidol.ac.th</t>
  </si>
  <si>
    <t>KITTIDILOK</t>
  </si>
  <si>
    <t>0928189890</t>
  </si>
  <si>
    <t>natnicha.kii@student.mahidol.ac.th</t>
  </si>
  <si>
    <t>NICHAKUL</t>
  </si>
  <si>
    <t>KONGNUAL</t>
  </si>
  <si>
    <t>0945489998</t>
  </si>
  <si>
    <t>nichakul.kon@student.mahidol.ac.th</t>
  </si>
  <si>
    <t>PUNNATHORN</t>
  </si>
  <si>
    <t>LAOHACHOTE</t>
  </si>
  <si>
    <t>0618659966</t>
  </si>
  <si>
    <t>punnathorn.lao@student.mahidol.ac.th</t>
  </si>
  <si>
    <t>NITHIMETH</t>
  </si>
  <si>
    <t>MANDEE</t>
  </si>
  <si>
    <t>0853177659</t>
  </si>
  <si>
    <t>nithimeth.man@student.mahidol.ac.th</t>
  </si>
  <si>
    <t>NIMMIDA</t>
  </si>
  <si>
    <t>MANEEWAN</t>
  </si>
  <si>
    <t>0924047634</t>
  </si>
  <si>
    <t>nimmida.man@student.mahidol.ac.th</t>
  </si>
  <si>
    <t>SITTIKORN</t>
  </si>
  <si>
    <t>0804796695</t>
  </si>
  <si>
    <t>sittikorn.man@student.mahidol.ac.th</t>
  </si>
  <si>
    <t>ACHIRAYA</t>
  </si>
  <si>
    <t>MANKHAM</t>
  </si>
  <si>
    <t>0955682716</t>
  </si>
  <si>
    <t>achiraya.mak@student.mahidol.ac.th</t>
  </si>
  <si>
    <t>CHAYADA</t>
  </si>
  <si>
    <t>PATTANASART</t>
  </si>
  <si>
    <t>0942989174</t>
  </si>
  <si>
    <t>chayada.pat@student.mahidol.ac.th</t>
  </si>
  <si>
    <t>BOONCHAI</t>
  </si>
  <si>
    <t>PINTHAROTPANYA</t>
  </si>
  <si>
    <t>0923923777</t>
  </si>
  <si>
    <t>boonchai.pin@student.mahidol.ac.th</t>
  </si>
  <si>
    <t>KOTCHAPAN</t>
  </si>
  <si>
    <t>PANCHAI</t>
  </si>
  <si>
    <t>0621683942</t>
  </si>
  <si>
    <t>kotchapan.pan@student.mahidol.ac.th</t>
  </si>
  <si>
    <t>PUTTHAJAKSRI</t>
  </si>
  <si>
    <t>0987874514</t>
  </si>
  <si>
    <t>punyaporn.put@student.mahidol.ac.th</t>
  </si>
  <si>
    <t>RATTANAPRASERT</t>
  </si>
  <si>
    <t>0621716163</t>
  </si>
  <si>
    <t>yotsapat.rat@student.mahidol.ac.th</t>
  </si>
  <si>
    <t>ROCHANAVIBHATA</t>
  </si>
  <si>
    <t>0954954034</t>
  </si>
  <si>
    <t>nuttapong.roc@student.mahidol.ac.th</t>
  </si>
  <si>
    <t>WICHAN</t>
  </si>
  <si>
    <t>RUGIROTAMPAI</t>
  </si>
  <si>
    <t>0821548121</t>
  </si>
  <si>
    <t>wichan.rug@student.mahidol.ac.th</t>
  </si>
  <si>
    <t>SANGTUNCHAI</t>
  </si>
  <si>
    <t>0970411221</t>
  </si>
  <si>
    <t>ananya.san@student.mahidol.ac.th</t>
  </si>
  <si>
    <t>SUPASRI</t>
  </si>
  <si>
    <t>SEEKANE</t>
  </si>
  <si>
    <t>0649315538</t>
  </si>
  <si>
    <t>supasri.see@student.mahidol.ac.th</t>
  </si>
  <si>
    <t>LATTAWIT</t>
  </si>
  <si>
    <t>0615509787</t>
  </si>
  <si>
    <t>lattawit.sir@student.mahidol.ac.th</t>
  </si>
  <si>
    <t>KANTIDA</t>
  </si>
  <si>
    <t>SORNLAM</t>
  </si>
  <si>
    <t>0972421839</t>
  </si>
  <si>
    <t>kantida.sor@student.mahidol.ac.th</t>
  </si>
  <si>
    <t>NETSARA</t>
  </si>
  <si>
    <t>SRISAI</t>
  </si>
  <si>
    <t>0846563564</t>
  </si>
  <si>
    <t>netsara.sri@student.mahidol.ac.th</t>
  </si>
  <si>
    <t>NONRAPHAN</t>
  </si>
  <si>
    <t>TATIPANITHEP</t>
  </si>
  <si>
    <t>0864052484</t>
  </si>
  <si>
    <t>nonraphan.tat@student.mahidol.ac.th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</si>
  <si>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Screen%20Shot%202565-08-15%20at%2023.43.10_NONRAPHAN%20TATIPANITH.png</t>
  </si>
  <si>
    <t>KIRANA</t>
  </si>
  <si>
    <t>TEERACHANATARN</t>
  </si>
  <si>
    <t>0936306484</t>
  </si>
  <si>
    <t>kirana.tee@student.mahidol.ac.th</t>
  </si>
  <si>
    <t>THITIYATHORN</t>
  </si>
  <si>
    <t>THITISAKULWONG</t>
  </si>
  <si>
    <t>0939235382</t>
  </si>
  <si>
    <t>thitiyathorn.thi@student.mahidol.ac.th</t>
  </si>
  <si>
    <t>PAPOPPORN</t>
  </si>
  <si>
    <t>THONGNARINTR</t>
  </si>
  <si>
    <t>0935847359</t>
  </si>
  <si>
    <t>papopporn.tho@student.mahidol.ac.th</t>
  </si>
  <si>
    <t>MOOKTAPRA</t>
  </si>
  <si>
    <t>WAIWARAWUTH</t>
  </si>
  <si>
    <t>0628089945</t>
  </si>
  <si>
    <t>mooktapra.waw@student.mahidol.ac.th</t>
  </si>
  <si>
    <t>PARANEE</t>
  </si>
  <si>
    <t>WANNASORN</t>
  </si>
  <si>
    <t>0621841264</t>
  </si>
  <si>
    <t>paranee.wan@student.mahidol.ac.th</t>
  </si>
  <si>
    <t>SINSUB</t>
  </si>
  <si>
    <t>0917808433</t>
  </si>
  <si>
    <t>natchanon.sin@student.mahidol.ac.th</t>
  </si>
  <si>
    <t>JEERAPHAT</t>
  </si>
  <si>
    <t>SRIPROMKAM</t>
  </si>
  <si>
    <t>0948194701</t>
  </si>
  <si>
    <t>jeeraphat.sri@student.mahidol.ac.th</t>
  </si>
  <si>
    <t>CHAYANID</t>
  </si>
  <si>
    <t>TOEMPHAIBUN</t>
  </si>
  <si>
    <t>0980256128</t>
  </si>
  <si>
    <t>chayanid.ter@student.mahidol.ac.th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</si>
  <si>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Screenshot_20230605_164204_Chrome_CHAYANID%20TERMPHAIBOO.jpg</t>
  </si>
  <si>
    <t>PEEMPAT</t>
  </si>
  <si>
    <t>USIN</t>
  </si>
  <si>
    <t>0991929159</t>
  </si>
  <si>
    <t>peempat.usn@student.mahidol.ac.th</t>
  </si>
  <si>
    <t>ATTAPONG</t>
  </si>
  <si>
    <t>YAEMANANCHAI</t>
  </si>
  <si>
    <t>0806685228</t>
  </si>
  <si>
    <t>attapong.yae@student.mahidol.ac.th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</si>
  <si>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Screenshot_2023-03-13-14-19-08-968_com.UCMobi_ATTAPONG%20YAEMANANCHA.jpg</t>
  </si>
  <si>
    <t>PHONGPHICHART</t>
  </si>
  <si>
    <t>0969899228</t>
  </si>
  <si>
    <t xml:space="preserve">napat.pho@student.mahidol.ac.th </t>
  </si>
  <si>
    <t>WONGPAN</t>
  </si>
  <si>
    <t>WONGMETHAKUL</t>
  </si>
  <si>
    <t>0658752632</t>
  </si>
  <si>
    <t xml:space="preserve">wongpan.won@student.mahidol.ac.th </t>
  </si>
  <si>
    <t>https://studentmahidolac.sharepoint.com/sites/AcademicTeam603/Shared%20Documents/%E0%B9%81%E0%B8%AD%E0%B8%9B/Microsoft%20Forms/English%20Proficiency%20Test%20for%20Graduation%20-%20English/Please%20attached%20the%20original%20score%20certificate/Duolingo%20English%20Test_WONGPAN%20WONGMETHAKUL.pdf</t>
  </si>
  <si>
    <t>**Test**</t>
  </si>
  <si>
    <t>PATIPAT</t>
  </si>
  <si>
    <t>CHEWPRECHA</t>
  </si>
  <si>
    <t>patipat.che123@mahidol.ac.th</t>
  </si>
  <si>
    <t>WORAMON</t>
  </si>
  <si>
    <t>CHARERNSUK</t>
  </si>
  <si>
    <t>woramon.cha@mahidol.ac.th</t>
  </si>
  <si>
    <t>PATTAREEYA</t>
  </si>
  <si>
    <t>ACHAIYAPHOOM</t>
  </si>
  <si>
    <t>pattareeya.ach@student.mahidol.ac.th</t>
  </si>
  <si>
    <t>NUTTAWAT</t>
  </si>
  <si>
    <t>ANGSAKUL</t>
  </si>
  <si>
    <t>nuttawat.ang@student.mahidol.ac.th</t>
  </si>
  <si>
    <t>JIRATH</t>
  </si>
  <si>
    <t>ANUDUANG</t>
  </si>
  <si>
    <t>jirath.anu@student.mahidol.ac.th</t>
  </si>
  <si>
    <t>PAKKANAT</t>
  </si>
  <si>
    <t>APHIRATHIRAN</t>
  </si>
  <si>
    <t>pakkanat.aph@student.mahidol.ac.th</t>
  </si>
  <si>
    <t>ARTIDTAYAMONTOL</t>
  </si>
  <si>
    <t>thanaporn.art@student.mahidol.ac.th</t>
  </si>
  <si>
    <t>KUNTAPAT</t>
  </si>
  <si>
    <t>ASAWAWORARIT</t>
  </si>
  <si>
    <t>kuntapat.asa@student.mahidol.ac.th</t>
  </si>
  <si>
    <t>SAAHIL</t>
  </si>
  <si>
    <t>BHAWNANI</t>
  </si>
  <si>
    <t>saahil.bha@student.mahidol.ac.th</t>
  </si>
  <si>
    <t>PARINTORN</t>
  </si>
  <si>
    <t>BOONCHIT</t>
  </si>
  <si>
    <t>parintorn.boo@student.mahidol.ac.th</t>
  </si>
  <si>
    <t>SUNATTHA</t>
  </si>
  <si>
    <t>BOONLA-OR</t>
  </si>
  <si>
    <t>sunattha.boo@student.mahidol.ac.th</t>
  </si>
  <si>
    <t>PAKKAPOL</t>
  </si>
  <si>
    <t>BOONLUCK</t>
  </si>
  <si>
    <t>pakkapol.boo@student.mahidol.ac.th</t>
  </si>
  <si>
    <t>KITTIPOB</t>
  </si>
  <si>
    <t>BUMPHEN</t>
  </si>
  <si>
    <t>kittipob.bum@student.mahidol.ac.th</t>
  </si>
  <si>
    <t>PERAWIS</t>
  </si>
  <si>
    <t>BURANASING</t>
  </si>
  <si>
    <t>perawis.bur@student.mahidol.ac.th</t>
  </si>
  <si>
    <t>KORAWIT</t>
  </si>
  <si>
    <t>CHANTAVILAIYING</t>
  </si>
  <si>
    <t>korawit.chn@student.mahidol.ac.th</t>
  </si>
  <si>
    <t>CHATNARIN</t>
  </si>
  <si>
    <t>CHANTRA</t>
  </si>
  <si>
    <t>chatnarin.cha@student.mahidol.ac.th</t>
  </si>
  <si>
    <t>RAWISARA</t>
  </si>
  <si>
    <t>CHANTRAVUTIKORN</t>
  </si>
  <si>
    <t>rawisara.chn@student.mahidol.ac.th</t>
  </si>
  <si>
    <t>TEERADA</t>
  </si>
  <si>
    <t>CHATRATTANAWUTH</t>
  </si>
  <si>
    <t>teerada.cht@student.mahidol.ac.th</t>
  </si>
  <si>
    <t>NARUSORN</t>
  </si>
  <si>
    <t>CHOLASUB</t>
  </si>
  <si>
    <t>narusorn.cho@student.mahidol.ac.th</t>
  </si>
  <si>
    <t>NONTAPATH</t>
  </si>
  <si>
    <t>CHOWARANUN</t>
  </si>
  <si>
    <t>nontapath.cho@student.mahidol.ac.th</t>
  </si>
  <si>
    <t>SUPHACHOK</t>
  </si>
  <si>
    <t>CHUEATO</t>
  </si>
  <si>
    <t>suphachok.chu@student.mahidol.ac.th</t>
  </si>
  <si>
    <t>BHORNPAILIN</t>
  </si>
  <si>
    <t>CHUNKASUT</t>
  </si>
  <si>
    <t>bhornpailin.chu@student.mahidol.ac.th</t>
  </si>
  <si>
    <t>APINUT</t>
  </si>
  <si>
    <t>COTIVONGSA</t>
  </si>
  <si>
    <t>apinut.cot@student.mahidol.ac.th</t>
  </si>
  <si>
    <t>RUBOON</t>
  </si>
  <si>
    <t>DEJ-UDOM</t>
  </si>
  <si>
    <t>ruboon.dej@student.mahidol.ac.th</t>
  </si>
  <si>
    <t>PRAVETIDA</t>
  </si>
  <si>
    <t>EKPORNPRASIT</t>
  </si>
  <si>
    <t>pravetida.ekp@student.mahidol.ac.th</t>
  </si>
  <si>
    <t>PAWARISA</t>
  </si>
  <si>
    <t>EMKOSA</t>
  </si>
  <si>
    <t>pawarisa.emk@student.mahidol.ac.th</t>
  </si>
  <si>
    <t>KHUNPON</t>
  </si>
  <si>
    <t>EMPUND</t>
  </si>
  <si>
    <t>khunpon.emp@student.mahidol.ac.th</t>
  </si>
  <si>
    <t>PAULWIT</t>
  </si>
  <si>
    <t>FAKFAIPHOL</t>
  </si>
  <si>
    <t>paulwit.fak@student.mahidol.ac.th</t>
  </si>
  <si>
    <t>YU-HAN</t>
  </si>
  <si>
    <t>yuhan.hua@student.mahidol.ac.th</t>
  </si>
  <si>
    <t>PHUTHARIN</t>
  </si>
  <si>
    <t>IAMSAARD</t>
  </si>
  <si>
    <t>phutharin.iam@student.mahidol.ac.th</t>
  </si>
  <si>
    <t>PHURINAT</t>
  </si>
  <si>
    <t>INTAWICHIAN</t>
  </si>
  <si>
    <t>phurinat.int@student.mahidol.ac.th</t>
  </si>
  <si>
    <t>SARACH</t>
  </si>
  <si>
    <t>ISLAM</t>
  </si>
  <si>
    <t>sarach.isl@student.mahidol.ac.th</t>
  </si>
  <si>
    <t>WATCHARAWIT</t>
  </si>
  <si>
    <t>ITTHIDUSITROJ</t>
  </si>
  <si>
    <t>watcharawit.itt@student.mahidol.ac.th</t>
  </si>
  <si>
    <t>NIPADA</t>
  </si>
  <si>
    <t>JADJAIDEE</t>
  </si>
  <si>
    <t>nipada.jad@student.mahidol.ac.th</t>
  </si>
  <si>
    <t>JINNAPAT</t>
  </si>
  <si>
    <t>JAIPHOOM</t>
  </si>
  <si>
    <t>jinnapat.jai@student.mahidol.ac.th</t>
  </si>
  <si>
    <t>PHACHARAPOL</t>
  </si>
  <si>
    <t>JAMPAISAL</t>
  </si>
  <si>
    <t>phacharapol.jam@student.mahidol.ac.th</t>
  </si>
  <si>
    <t>PAPUTANA</t>
  </si>
  <si>
    <t>JANJAMRAJ</t>
  </si>
  <si>
    <t>paputana.jan@student.mahidol.ac.th</t>
  </si>
  <si>
    <t>PISIT</t>
  </si>
  <si>
    <t>JIRAWOOTTIWAT</t>
  </si>
  <si>
    <t>pisit.jir@student.mahidol.ac.th</t>
  </si>
  <si>
    <t>SUPARUEK</t>
  </si>
  <si>
    <t>KAEWDAENG</t>
  </si>
  <si>
    <t>suparuek.kae@student.mahidol.ac.th</t>
  </si>
  <si>
    <t>KAEWKOMUT</t>
  </si>
  <si>
    <t>chanikarn.kaw@student.mahidol.ac.th</t>
  </si>
  <si>
    <t>KAEWSAWANGSUB</t>
  </si>
  <si>
    <t>thanakorn.kas@student.mahidol.ac.th</t>
  </si>
  <si>
    <t>SIPPAKORN</t>
  </si>
  <si>
    <t>sippakorn.kan@student.mahidol.ac.th</t>
  </si>
  <si>
    <t>CHAOWAPHAT</t>
  </si>
  <si>
    <t>KANJANATUANGSANGUD</t>
  </si>
  <si>
    <t>chaowaphat.kan@student.mahidol.ac.th</t>
  </si>
  <si>
    <t>PUNNAWIT</t>
  </si>
  <si>
    <t>KANOGPORNWANICH</t>
  </si>
  <si>
    <t>punnawit.kan@student.mahidol.ac.th</t>
  </si>
  <si>
    <t>VORALOP</t>
  </si>
  <si>
    <t>KETVALEEVAN</t>
  </si>
  <si>
    <t>voralop.ket@student.mahidol.ac.th</t>
  </si>
  <si>
    <t>WARUT</t>
  </si>
  <si>
    <t>KHAMKAVEEPHART</t>
  </si>
  <si>
    <t>warut.kha@student.mahidol.ac.th</t>
  </si>
  <si>
    <t>KULCHAYA</t>
  </si>
  <si>
    <t>KMOLNAROT</t>
  </si>
  <si>
    <t>kulchaya.kmo@student.mahidol.ac.th</t>
  </si>
  <si>
    <t>THANYATHIP</t>
  </si>
  <si>
    <t>KORAPINTAVANGKUL</t>
  </si>
  <si>
    <t>thanyathip.kor@student.mahidol.ac.th</t>
  </si>
  <si>
    <t>CHAIWAT</t>
  </si>
  <si>
    <t>KOR-UTHAISATHIAN</t>
  </si>
  <si>
    <t>chaiwat.kor@student.mahidol.ac.th</t>
  </si>
  <si>
    <t>KRISANASAMIT</t>
  </si>
  <si>
    <t>nattapat.kri@student.mahidol.ac.th</t>
  </si>
  <si>
    <t>PANNAWIT</t>
  </si>
  <si>
    <t>KRUTNAK</t>
  </si>
  <si>
    <t>pannawit.kru@student.mahidol.ac.th</t>
  </si>
  <si>
    <t>KRITCHANAT</t>
  </si>
  <si>
    <t>KULWANICH</t>
  </si>
  <si>
    <t>kritchanat.kul@student.mahidol.ac.th</t>
  </si>
  <si>
    <t>TAKKA</t>
  </si>
  <si>
    <t>LEEHENG</t>
  </si>
  <si>
    <t>takka.leh@student.mahidol.ac.th</t>
  </si>
  <si>
    <t>PREMPAVEEN</t>
  </si>
  <si>
    <t>LERTTRAIPOP</t>
  </si>
  <si>
    <t>prempaveen.ler@student.mahidol.ac.th</t>
  </si>
  <si>
    <t>THANISORN</t>
  </si>
  <si>
    <t>LRAYKONGKA</t>
  </si>
  <si>
    <t>thanisorn.lra@student.mahidol.ac.th</t>
  </si>
  <si>
    <t>PATCHARAPOL</t>
  </si>
  <si>
    <t>LUKSANAKAM</t>
  </si>
  <si>
    <t>patcharapol.luk@student.mahidol.ac.th</t>
  </si>
  <si>
    <t>ATHIP</t>
  </si>
  <si>
    <t>MADNOTH</t>
  </si>
  <si>
    <t>athip.mad@student.mahidol.ac.th</t>
  </si>
  <si>
    <t>SUPAWET</t>
  </si>
  <si>
    <t>MAHACHAIKUL</t>
  </si>
  <si>
    <t>supawet.mah@student.mahidol.ac.th</t>
  </si>
  <si>
    <t>PHANA</t>
  </si>
  <si>
    <t>MAHACHAIRACHUN</t>
  </si>
  <si>
    <t>phana.mah@student.mahidol.ac.th</t>
  </si>
  <si>
    <t>MANUSWIYOUNGKUL</t>
  </si>
  <si>
    <t>jarukit.man@student.mahidol.ac.th</t>
  </si>
  <si>
    <t>CHAWIN</t>
  </si>
  <si>
    <t>MAROM</t>
  </si>
  <si>
    <t>chawin.mar@student.mahidol.ac.th</t>
  </si>
  <si>
    <t>NATKRITTAR</t>
  </si>
  <si>
    <t>MASWONGWIWAT</t>
  </si>
  <si>
    <t>natkrittar.maw@student.mahidol.ac.th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</si>
  <si>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IELTS_NATKRITTAR%20MASWONGWI%201.pdf</t>
  </si>
  <si>
    <t>NATTACHAI</t>
  </si>
  <si>
    <t>MINGRATTIKORN</t>
  </si>
  <si>
    <t>nattachai.min@student.mahidol.ac.th</t>
  </si>
  <si>
    <t>SIRAVICH</t>
  </si>
  <si>
    <t>NAMCHAN</t>
  </si>
  <si>
    <t>siravich.nam@student.mahidol.ac.th</t>
  </si>
  <si>
    <t>RATCHAPON</t>
  </si>
  <si>
    <t>NETPU</t>
  </si>
  <si>
    <t>ratchapon.net@student.mahidol.ac.th</t>
  </si>
  <si>
    <t>WORASUDA</t>
  </si>
  <si>
    <t>worasuda.nga@student.mahidol.ac.th</t>
  </si>
  <si>
    <t>NICHAKAN</t>
  </si>
  <si>
    <t>NINHUSRUNGSRI</t>
  </si>
  <si>
    <t>nichakan.nin@student.mahidol.ac.th</t>
  </si>
  <si>
    <t>ORNRUMPHA</t>
  </si>
  <si>
    <t>NIRUNDORN</t>
  </si>
  <si>
    <t>ornrumpha.nir@student.mahidol.ac.th</t>
  </si>
  <si>
    <t>KEMJIRA</t>
  </si>
  <si>
    <t>NUGBOON</t>
  </si>
  <si>
    <t>kemjira.nug@student.mahidol.ac.th</t>
  </si>
  <si>
    <t>CHAYAKORN</t>
  </si>
  <si>
    <t>PANINTORN</t>
  </si>
  <si>
    <t>chayakorn.pan@student.mahidol.ac.th</t>
  </si>
  <si>
    <t>PRAPASSAPORN</t>
  </si>
  <si>
    <t>PAPHATPHONPHAISAN</t>
  </si>
  <si>
    <t>prapassaporn.pap@student.mahidol.ac.th</t>
  </si>
  <si>
    <t>SIRAVIT</t>
  </si>
  <si>
    <t>PATHOMPORNWIWAT</t>
  </si>
  <si>
    <t>siravit.pat@student.mahidol.ac.th</t>
  </si>
  <si>
    <t>KUNRUETHAI</t>
  </si>
  <si>
    <t>PATIMAPORNCHAI</t>
  </si>
  <si>
    <t>kunruethai.pat@student.mahidol.ac.th</t>
  </si>
  <si>
    <t>BHUMIPAT</t>
  </si>
  <si>
    <t>PENGPAIBOON</t>
  </si>
  <si>
    <t>bhumipat.pen@student.mahidol.ac.th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</si>
  <si>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IMG_4206_BHUMIPAT%20PENGPAIBOON.jpeg</t>
  </si>
  <si>
    <t>PETCHABUREE</t>
  </si>
  <si>
    <t>jarukit.pet@student.mahidol.ac.th</t>
  </si>
  <si>
    <t>SIRAPONGPAT</t>
  </si>
  <si>
    <t>PHORNPRAPA</t>
  </si>
  <si>
    <t>sirapongpat.pho@student.mahidol.ac.th</t>
  </si>
  <si>
    <t>KANINNAT</t>
  </si>
  <si>
    <t>PHUANGLAOR</t>
  </si>
  <si>
    <t>kaninnat.phu@student.mahidol.ac.th</t>
  </si>
  <si>
    <t>NONPAVIT</t>
  </si>
  <si>
    <t>PIAMSOMBOON</t>
  </si>
  <si>
    <t>nonpavit.pia@student.mahidol.ac.th</t>
  </si>
  <si>
    <t>YUWA</t>
  </si>
  <si>
    <t>PIMCHAILAI</t>
  </si>
  <si>
    <t>yuwa.pim@student.mahidol.ac.th</t>
  </si>
  <si>
    <t>TEERAMANOP</t>
  </si>
  <si>
    <t>PINSUPA</t>
  </si>
  <si>
    <t>teeramanop.pin@student.mahidol.ac.th</t>
  </si>
  <si>
    <t>POSAWEE</t>
  </si>
  <si>
    <t>PIRUNAMORNPUN</t>
  </si>
  <si>
    <t>posawee.pir@student.mahidol.ac.th</t>
  </si>
  <si>
    <t>PITTINON</t>
  </si>
  <si>
    <t>PIYACHAROENWATTANA</t>
  </si>
  <si>
    <t>pittinon.piy@student.mahidol.ac.th</t>
  </si>
  <si>
    <t>THANAPHACHASON</t>
  </si>
  <si>
    <t>POORITEWED</t>
  </si>
  <si>
    <t>thanaphachason.poo@student.mahidol.ac.th</t>
  </si>
  <si>
    <t>PRADITKANOK</t>
  </si>
  <si>
    <t>thanakorn.prd@student.mahidol.ac.th</t>
  </si>
  <si>
    <t>PATHOMPONG</t>
  </si>
  <si>
    <t>PRASITPHOL</t>
  </si>
  <si>
    <t>pathompong.pra@student.mahidol.ac.th</t>
  </si>
  <si>
    <t>JITTAPAT</t>
  </si>
  <si>
    <t>PROMJANDA</t>
  </si>
  <si>
    <t>jittapat.pro@student.mahidol.ac.th</t>
  </si>
  <si>
    <t>PHISIT</t>
  </si>
  <si>
    <t>PUANGSUK</t>
  </si>
  <si>
    <t>phisit.pua@student.mahidol.ac.th</t>
  </si>
  <si>
    <t>PUNDHAREE</t>
  </si>
  <si>
    <t>PUCKDINUKUL</t>
  </si>
  <si>
    <t>pundharee.puk@student.mahidol.ac.th</t>
  </si>
  <si>
    <t>WARANGON</t>
  </si>
  <si>
    <t>PUTDIVARNICHAPONG</t>
  </si>
  <si>
    <t>warangon.put@student.mahidol.ac.th</t>
  </si>
  <si>
    <t>ONGSA</t>
  </si>
  <si>
    <t>RAKSALAM</t>
  </si>
  <si>
    <t>ongsa.rak@student.mahidol.ac.th</t>
  </si>
  <si>
    <t>NOPWAREE</t>
  </si>
  <si>
    <t>RAMASOOT</t>
  </si>
  <si>
    <t>nopwaree.ram@student.mahidol.ac.th</t>
  </si>
  <si>
    <t>TINAKOME</t>
  </si>
  <si>
    <t>RASRIPENNGAM</t>
  </si>
  <si>
    <t>tinakome.ras@student.mahidol.ac.th</t>
  </si>
  <si>
    <t>NONTAWAT</t>
  </si>
  <si>
    <t>RATTANACHOT</t>
  </si>
  <si>
    <t>nontawat.rat@student.mahidol.ac.th</t>
  </si>
  <si>
    <t>SUPPAVICH</t>
  </si>
  <si>
    <t>RATTANAMANOTHAM</t>
  </si>
  <si>
    <t>suppavich.rat@student.mahidol.ac.th</t>
  </si>
  <si>
    <t>https://studentmahidolac.sharepoint.com/sites/AcademicTeam603/Shared%20Documents/%E0%B9%81%E0%B8%AD%E0%B8%9B/Microsoft%20Forms/English%20Proficiency%20Test%20for%20Graduation%20-%20English/Please%20attached%20the%20original%20score%20certificate/Duolingo%20English%20Test_SUPPAVICH%20RATTANAMAN.pdf</t>
  </si>
  <si>
    <t>THANAKIT</t>
  </si>
  <si>
    <t>RATTIKANCHALAKORN</t>
  </si>
  <si>
    <t>thanakit.rat@student.mahidol.ac.th</t>
  </si>
  <si>
    <t>NUTTANAN</t>
  </si>
  <si>
    <t>REAMPRASERT</t>
  </si>
  <si>
    <t>nuttanan.rea@student.mahidol.ac.th</t>
  </si>
  <si>
    <t>CHANACHON</t>
  </si>
  <si>
    <t>RIMCHAROEN</t>
  </si>
  <si>
    <t>chanachon.rim@student.mahidol.ac.th</t>
  </si>
  <si>
    <t>CHAVIS</t>
  </si>
  <si>
    <t>RITTIGUN</t>
  </si>
  <si>
    <t>chavis.rit@student.mahidol.ac.th</t>
  </si>
  <si>
    <t>PORRAMIN</t>
  </si>
  <si>
    <t>SAENGSAKSRI</t>
  </si>
  <si>
    <t>porramin.sae@student.mahidol.ac.th</t>
  </si>
  <si>
    <t>CHALOMCHAI</t>
  </si>
  <si>
    <t>SAKET</t>
  </si>
  <si>
    <t>chalomchai.sak@student.mahidol.ac.th</t>
  </si>
  <si>
    <t>PHUBASE</t>
  </si>
  <si>
    <t>SANGLIAMTHONG</t>
  </si>
  <si>
    <t>phubase.san@student.mahidol.ac.th</t>
  </si>
  <si>
    <t>SATITSONGTHAM</t>
  </si>
  <si>
    <t>krittin.sat@student.mahidol.ac.th</t>
  </si>
  <si>
    <t>WARINTHORN</t>
  </si>
  <si>
    <t>SAVETAMORNKUL</t>
  </si>
  <si>
    <t>warinthorn.sav@student.mahidol.ac.th</t>
  </si>
  <si>
    <t>ARISA</t>
  </si>
  <si>
    <t>SINRAPAVARIN</t>
  </si>
  <si>
    <t>arisa.sin@student.mahidol.ac.th</t>
  </si>
  <si>
    <t>NAPAS</t>
  </si>
  <si>
    <t>SIRIPASKRITTAKUL</t>
  </si>
  <si>
    <t>napas.sii@student.mahidol.ac.th</t>
  </si>
  <si>
    <t>SOONGSWANG</t>
  </si>
  <si>
    <t>kornkanok.soo@student.mahidol.ac.th</t>
  </si>
  <si>
    <t>TANAKIT</t>
  </si>
  <si>
    <t>SOONSUK</t>
  </si>
  <si>
    <t>tanakit.soo@student.mahidol.ac.th</t>
  </si>
  <si>
    <t>THANYARET</t>
  </si>
  <si>
    <t>SRIPHOCHANG</t>
  </si>
  <si>
    <t>thanyaret.srp@student.mahidol.ac.th</t>
  </si>
  <si>
    <t>DUNGWANG</t>
  </si>
  <si>
    <t>SRISA-ARD</t>
  </si>
  <si>
    <t>dungwang.sri@student.mahidol.ac.th</t>
  </si>
  <si>
    <t>PORNPAWEE</t>
  </si>
  <si>
    <t>SRITRA</t>
  </si>
  <si>
    <t>pornpawee.srt@student.mahidol.ac.th</t>
  </si>
  <si>
    <t>PONLAPAT</t>
  </si>
  <si>
    <t>SUBSAENUDOM</t>
  </si>
  <si>
    <t>ponlapat.sub@student.mahidol.ac.th</t>
  </si>
  <si>
    <t>THANUNYA</t>
  </si>
  <si>
    <t>SUKSARAN</t>
  </si>
  <si>
    <t>thanunya.suk@student.mahidol.ac.th</t>
  </si>
  <si>
    <t>TANYARAT</t>
  </si>
  <si>
    <t>SUKSUWAN</t>
  </si>
  <si>
    <t>tanyarat.suk@student.mahidol.ac.th</t>
  </si>
  <si>
    <t>PARUN</t>
  </si>
  <si>
    <t>SUMETHMETHACHAI</t>
  </si>
  <si>
    <t>parun.sum@student.mahidol.ac.th</t>
  </si>
  <si>
    <t>KANOK</t>
  </si>
  <si>
    <t>SURIYACHAN</t>
  </si>
  <si>
    <t>kanok.sur@student.mahidol.ac.th</t>
  </si>
  <si>
    <t>SUYAOEI</t>
  </si>
  <si>
    <t>pannatorn.suy@student.mahidol.ac.th</t>
  </si>
  <si>
    <t>TANASARNSUKSTID</t>
  </si>
  <si>
    <t>supitsara.tan@student.mahidol.ac.th</t>
  </si>
  <si>
    <t>POLAMUD</t>
  </si>
  <si>
    <t>TANGCHALERMKUL</t>
  </si>
  <si>
    <t>polamud.tan@student.mahidol.ac.th</t>
  </si>
  <si>
    <t>NITHIT</t>
  </si>
  <si>
    <t>TEERAWORAWIT</t>
  </si>
  <si>
    <t>nithit.tee@student.mahidol.ac.th</t>
  </si>
  <si>
    <t>NANTHIT</t>
  </si>
  <si>
    <t>TEMKULKIAT</t>
  </si>
  <si>
    <t>nanthit.tem@student.mahidol.ac.th</t>
  </si>
  <si>
    <t>PIYACHAT</t>
  </si>
  <si>
    <t>THAISRI</t>
  </si>
  <si>
    <t>piyachat.tha@student.mahidol.ac.th</t>
  </si>
  <si>
    <t>PEERAYA</t>
  </si>
  <si>
    <t>THAVEEMAITREE</t>
  </si>
  <si>
    <t>peeraya.thv@student.mahidol.ac.th</t>
  </si>
  <si>
    <t>PARADON</t>
  </si>
  <si>
    <t>THAVORNCHOB</t>
  </si>
  <si>
    <t>paradon.tha@student.mahidol.ac.th</t>
  </si>
  <si>
    <t>PATSATRAPORN</t>
  </si>
  <si>
    <t>THONGDEESAKUL</t>
  </si>
  <si>
    <t>patsatraporn.tho@student.mahidol.ac.th</t>
  </si>
  <si>
    <t>CHONNATHEE</t>
  </si>
  <si>
    <t>THONGJURAI</t>
  </si>
  <si>
    <t>chonnathee.tho@student.mahidol.ac.th</t>
  </si>
  <si>
    <t>CHAYOCHA</t>
  </si>
  <si>
    <t>THONGPRASERT</t>
  </si>
  <si>
    <t>chayocha.tho@student.mahidol.ac.th</t>
  </si>
  <si>
    <t>SUPPANAT</t>
  </si>
  <si>
    <t>TIMNGARM</t>
  </si>
  <si>
    <t>suppanat.tim@student.mahidol.ac.th</t>
  </si>
  <si>
    <t>CHATCHANUN</t>
  </si>
  <si>
    <t>TOUNGPORNSUP</t>
  </si>
  <si>
    <t>chatchanun.tou@student.mahidol.ac.th</t>
  </si>
  <si>
    <t>TRAIMONGKOLKUL</t>
  </si>
  <si>
    <t>pawaris.tra@student.mahidol.ac.th</t>
  </si>
  <si>
    <t>THANASIL</t>
  </si>
  <si>
    <t>TUBTHONG</t>
  </si>
  <si>
    <t>thanasil.tub@student.mahidol.ac.th</t>
  </si>
  <si>
    <t>SORAYOT</t>
  </si>
  <si>
    <t>UDOMKIJKOSOL</t>
  </si>
  <si>
    <t>sorayot.udo@student.mahidol.ac.th</t>
  </si>
  <si>
    <t>UPPARIPUTTHANGKUL</t>
  </si>
  <si>
    <t>natnicha.upp@student.mahidol.ac.th</t>
  </si>
  <si>
    <t>THAKK</t>
  </si>
  <si>
    <t>VANICHBUTR</t>
  </si>
  <si>
    <t>thakk.van@student.mahidol.ac.th</t>
  </si>
  <si>
    <t>NARUEBORDINT</t>
  </si>
  <si>
    <t>VEANGNONT</t>
  </si>
  <si>
    <t>naruebordint.vea@student.mahidol.ac.th</t>
  </si>
  <si>
    <t>KANYANAT</t>
  </si>
  <si>
    <t>WASUTHAWAT</t>
  </si>
  <si>
    <t>kanyanat.was@student.mahidol.ac.th</t>
  </si>
  <si>
    <t>RATTEE</t>
  </si>
  <si>
    <t>WATPERATAM</t>
  </si>
  <si>
    <t>rattee.wat@student.mahidol.ac.th</t>
  </si>
  <si>
    <t>KRERKKIAT</t>
  </si>
  <si>
    <t>WATTANAPORN</t>
  </si>
  <si>
    <t>krerkkiat.wat@student.mahidol.ac.th</t>
  </si>
  <si>
    <t>TEEMTAT</t>
  </si>
  <si>
    <t>WEERARATTANAMANEE</t>
  </si>
  <si>
    <t>teemtat.wee@student.mahidol.ac.th</t>
  </si>
  <si>
    <t>WIANGAIN</t>
  </si>
  <si>
    <t>napat.wia@student.mahidol.ac.th</t>
  </si>
  <si>
    <t>WINUNTAMALAKUL</t>
  </si>
  <si>
    <t>chayakorn.win@student.mahidol.ac.th</t>
  </si>
  <si>
    <t>WISALKAMOL</t>
  </si>
  <si>
    <t>nichakorn.wis@student.mahidol.ac.th</t>
  </si>
  <si>
    <t>TARIT</t>
  </si>
  <si>
    <t>WITWORRASAKUL</t>
  </si>
  <si>
    <t>tarit.wit@student.mahidol.ac.th</t>
  </si>
  <si>
    <t>BUNYAKORN</t>
  </si>
  <si>
    <t>WONGCHADAKUL</t>
  </si>
  <si>
    <t>bunyakorn.won@student.mahidol.ac.th</t>
  </si>
  <si>
    <t>WUNVISUT</t>
  </si>
  <si>
    <t>pattanan.wun@student.mahidol.ac.th</t>
  </si>
  <si>
    <t>XUTO</t>
  </si>
  <si>
    <t>suphanat.xut@student.mahidol.ac.th</t>
  </si>
  <si>
    <t>ANANYOS</t>
  </si>
  <si>
    <t>YAIBUATHES</t>
  </si>
  <si>
    <t>ananyos.yai@student.mahidol.ac.th</t>
  </si>
  <si>
    <t>THANADON</t>
  </si>
  <si>
    <t>YINDEESUK</t>
  </si>
  <si>
    <t>thanadon.yin@student.mahidol.ac.th</t>
  </si>
  <si>
    <t>CHATRUDEE</t>
  </si>
  <si>
    <t>YODSALA</t>
  </si>
  <si>
    <t>chatrudee.yod@student.mahidol.ac.th</t>
  </si>
  <si>
    <t>PAWINA</t>
  </si>
  <si>
    <t>NULL</t>
  </si>
  <si>
    <t>pawina@student.mahidol.ac.th</t>
  </si>
  <si>
    <t>NATTAPHONG</t>
  </si>
  <si>
    <t>JULLAYAKIAT</t>
  </si>
  <si>
    <t>nattaphong.jul@student.mahidol.ac.th</t>
  </si>
  <si>
    <t>WORAPHOL</t>
  </si>
  <si>
    <t>MEAKAPAT</t>
  </si>
  <si>
    <t>woraphol.mea@student.mahidol.ac.th</t>
  </si>
  <si>
    <t>NICHARAVISUTT</t>
  </si>
  <si>
    <t>saharat.nic@student.mahidol.ac.th</t>
  </si>
  <si>
    <t>AYUMU</t>
  </si>
  <si>
    <t>SAKURAI</t>
  </si>
  <si>
    <t>ayumu.sak@student.mahidol.ac.th</t>
  </si>
  <si>
    <t>AKANAT</t>
  </si>
  <si>
    <t>APILUCKPANICH</t>
  </si>
  <si>
    <t>akanat.api@student.mahidol.ac.th</t>
  </si>
  <si>
    <t>TINNAPHOB</t>
  </si>
  <si>
    <t>BOONKUA</t>
  </si>
  <si>
    <t>tinnaphob.boo@student.mahidol.ac.th</t>
  </si>
  <si>
    <t>PHONCHANIT</t>
  </si>
  <si>
    <t>CHAITHAMMACHOK</t>
  </si>
  <si>
    <t>phonchanit.cha@student.mahidol.ac.th</t>
  </si>
  <si>
    <t>AROONRAT</t>
  </si>
  <si>
    <t>CHOOCHUE</t>
  </si>
  <si>
    <t>aroonrat.cho@student.mahidol.ac.th</t>
  </si>
  <si>
    <t>VEERAKRON</t>
  </si>
  <si>
    <t>NOIN</t>
  </si>
  <si>
    <t>veerakron.noi@student.mahidol.ac.th</t>
  </si>
  <si>
    <t>PHATPHARID</t>
  </si>
  <si>
    <t>PHATTARANAWIG</t>
  </si>
  <si>
    <t>phatpharid.pha@student.mahidol.ac.th</t>
  </si>
  <si>
    <t>SIRIKULPIBOON</t>
  </si>
  <si>
    <t>supawit.sik@student.mahidol.ac.th</t>
  </si>
  <si>
    <t>THAMONWAN</t>
  </si>
  <si>
    <t>SUEBMA</t>
  </si>
  <si>
    <t>thamonwan.sue@student.mahidol.ac.th</t>
  </si>
  <si>
    <t>PORNTHITA</t>
  </si>
  <si>
    <t>SUKPRAPAIPAT</t>
  </si>
  <si>
    <t>pornthita.suk@student.mahidol.ac.th</t>
  </si>
  <si>
    <t>POONNAPHAT</t>
  </si>
  <si>
    <t>AROONLERTRATSAMEE</t>
  </si>
  <si>
    <t>poonnaphat.aro@student.mahidol.ac.th</t>
  </si>
  <si>
    <t>CHUAWITTAYAWUTH</t>
  </si>
  <si>
    <t>natnicha.chw@student.mahidol.ac.th</t>
  </si>
  <si>
    <t>PIMCHANOK</t>
  </si>
  <si>
    <t>JAROONGSIRISUB</t>
  </si>
  <si>
    <t>pimchanok.jao@student.mahidol.ac.th</t>
  </si>
  <si>
    <t>WIRUNYA</t>
  </si>
  <si>
    <t>wirunya.kae@student.mahidol.ac.th</t>
  </si>
  <si>
    <t>PASSAKORN</t>
  </si>
  <si>
    <t>PIBOONMAHACHOTIKUL</t>
  </si>
  <si>
    <t>passakorn.pib@student.mahidol.ac.th</t>
  </si>
  <si>
    <t>WISANYAPHONG</t>
  </si>
  <si>
    <t>TSENG</t>
  </si>
  <si>
    <t>wisanyaphong.tse@student.mahidol.ac.th</t>
  </si>
  <si>
    <t>PANATTHAPHONG</t>
  </si>
  <si>
    <t>YOODEE</t>
  </si>
  <si>
    <t>panatthaphong.yoo@student.mahidol.ac.th</t>
  </si>
  <si>
    <t>YIMENG</t>
  </si>
  <si>
    <t>yimeng.che@student.mahidol.ac.th</t>
  </si>
  <si>
    <t>FANGYU</t>
  </si>
  <si>
    <t>fangyu.liu@student.mahidol.ac.th</t>
  </si>
  <si>
    <t>JUNRUI</t>
  </si>
  <si>
    <t>MAO</t>
  </si>
  <si>
    <t>junrui.mao@student.mahidol.ac.th</t>
  </si>
  <si>
    <t>TAIXIANG</t>
  </si>
  <si>
    <t>taixiang.xu@student.mahidol.ac.th</t>
  </si>
  <si>
    <t>HONGYU</t>
  </si>
  <si>
    <t>hongyu.zho@student.mahidol.ac.th</t>
  </si>
  <si>
    <t>ZIRUI</t>
  </si>
  <si>
    <t>ZHU</t>
  </si>
  <si>
    <t>zirui.zhu@student.mahidol.ac.th</t>
  </si>
  <si>
    <t>VASUPHON</t>
  </si>
  <si>
    <t>BOONCHIRT</t>
  </si>
  <si>
    <t>vasuphon.boo@student.mahidol.ac.th</t>
  </si>
  <si>
    <t>PRAEWTIP</t>
  </si>
  <si>
    <t>BOONTAWEESOMBOON</t>
  </si>
  <si>
    <t>praewtip.boo@student.mahidol.ac.th</t>
  </si>
  <si>
    <t>CHAITEERANAN</t>
  </si>
  <si>
    <t>BUNMA</t>
  </si>
  <si>
    <t>chaiteeranan.bun@student.mahidol.ac.th</t>
  </si>
  <si>
    <t>CHADPOOTITAKOENG</t>
  </si>
  <si>
    <t>chayaphol.chd@student.mahidol.ac.th</t>
  </si>
  <si>
    <t>THANAPHON</t>
  </si>
  <si>
    <t>CHAENGCHON</t>
  </si>
  <si>
    <t>thanaphon.chn@student.mahidol.ac.th</t>
  </si>
  <si>
    <t>WIMONWAN</t>
  </si>
  <si>
    <t>HENGSUNTHORN</t>
  </si>
  <si>
    <t>wimonwan.hen@student.mahidol.ac.th</t>
  </si>
  <si>
    <t>KITTIYAKARN</t>
  </si>
  <si>
    <t>KAEWMUNGKUN</t>
  </si>
  <si>
    <t>kittiyakarn.kae@student.mahidol.ac.th</t>
  </si>
  <si>
    <t>NUTCHASAN</t>
  </si>
  <si>
    <t>KAEWSUTTHI</t>
  </si>
  <si>
    <t>nutchasan.kae@student.mahidol.ac.th</t>
  </si>
  <si>
    <t>ATICHAT</t>
  </si>
  <si>
    <t>KANGSAMUT</t>
  </si>
  <si>
    <t>atichat.kan@student.mahidol.ac.th</t>
  </si>
  <si>
    <t>MUHUMMADCHARIF</t>
  </si>
  <si>
    <t>KAPA</t>
  </si>
  <si>
    <t>muhummadcharif.kap@student.mahidol.ac.th</t>
  </si>
  <si>
    <t>KAMOL</t>
  </si>
  <si>
    <t>KHANANAWUT</t>
  </si>
  <si>
    <t>kamol.kha@student.mahidol.ac.th</t>
  </si>
  <si>
    <t>NUTTAKIT</t>
  </si>
  <si>
    <t>KRIENGSAKDASKUN</t>
  </si>
  <si>
    <t>nuttakit.kri@student.mahidol.ac.th</t>
  </si>
  <si>
    <t>PATTARAWADEE</t>
  </si>
  <si>
    <t>KUNKONGSATHIEN</t>
  </si>
  <si>
    <t>pattarawadee.kun@student.mahidol.ac.th</t>
  </si>
  <si>
    <t>TEERATAT</t>
  </si>
  <si>
    <t>KUNVORATHAM</t>
  </si>
  <si>
    <t>teeratat.kun@student.mahidol.ac.th</t>
  </si>
  <si>
    <t>LAWAKORN</t>
  </si>
  <si>
    <t>thanyarat.law@student.mahidol.ac.th</t>
  </si>
  <si>
    <t>SIRILUCK</t>
  </si>
  <si>
    <t>MANACHAROENLAP</t>
  </si>
  <si>
    <t>siriluck.maa@student.mahidol.ac.th</t>
  </si>
  <si>
    <t>NARMEEN</t>
  </si>
  <si>
    <t>MASOODI</t>
  </si>
  <si>
    <t>narmeen.mas@student.mahidol.ac.th</t>
  </si>
  <si>
    <t>PHONLAPOJ</t>
  </si>
  <si>
    <t>MATPONGTHAVORN</t>
  </si>
  <si>
    <t>phonlapoj.mat@student.mahidol.ac.th</t>
  </si>
  <si>
    <t>CHANPUM</t>
  </si>
  <si>
    <t>MEECHOONUK</t>
  </si>
  <si>
    <t>chanpum.mee@student.mahidol.ac.th</t>
  </si>
  <si>
    <t>CHAWANWIT</t>
  </si>
  <si>
    <t>NGUANJORN</t>
  </si>
  <si>
    <t>chawanwit.ngu@student.mahidol.ac.th</t>
  </si>
  <si>
    <t>SIRAWIT</t>
  </si>
  <si>
    <t>NOOMANOCH</t>
  </si>
  <si>
    <t>sirawit.noo@student.mahidol.ac.th</t>
  </si>
  <si>
    <t>RITTIPAK</t>
  </si>
  <si>
    <t>PAKSEEPANG</t>
  </si>
  <si>
    <t>rittipak.pak@student.mahidol.ac.th</t>
  </si>
  <si>
    <t>THANYAKARN</t>
  </si>
  <si>
    <t>PANYADEE</t>
  </si>
  <si>
    <t>thanyakarn.pan@student.mahidol.ac.th</t>
  </si>
  <si>
    <t>SUPACHOKE</t>
  </si>
  <si>
    <t>PETCHARABURANIN</t>
  </si>
  <si>
    <t>supachoke.pet@student.mahidol.ac.th</t>
  </si>
  <si>
    <t>POSCHAPAT</t>
  </si>
  <si>
    <t>PHETCHARAWUT</t>
  </si>
  <si>
    <t>poschapat.phe@student.mahidol.ac.th</t>
  </si>
  <si>
    <t>PINSAKUL</t>
  </si>
  <si>
    <t>thanaporn.pis@student.mahidol.ac.th</t>
  </si>
  <si>
    <t>WITIWAT</t>
  </si>
  <si>
    <t>PIYASAKAWUT</t>
  </si>
  <si>
    <t>witiwat.piy@student.mahidol.ac.th</t>
  </si>
  <si>
    <t>NATPAPAVEE</t>
  </si>
  <si>
    <t>PRAMUALSUK</t>
  </si>
  <si>
    <t>natpapavee.pra@student.mahidol.ac.th</t>
  </si>
  <si>
    <t>PITHIPHUM</t>
  </si>
  <si>
    <t>PRAMUANPHIM</t>
  </si>
  <si>
    <t>pithiphum.pra@student.mahidol.ac.th</t>
  </si>
  <si>
    <t>THANAPHUM</t>
  </si>
  <si>
    <t>SAIYUD</t>
  </si>
  <si>
    <t>thanaphum.sai@student.mahidol.ac.th</t>
  </si>
  <si>
    <t>PORAMIN</t>
  </si>
  <si>
    <t>SAKORNCHAREON</t>
  </si>
  <si>
    <t>poramin.sak@student.mahidol.ac.th</t>
  </si>
  <si>
    <t>PAKAWAT</t>
  </si>
  <si>
    <t>SANBOONSRI</t>
  </si>
  <si>
    <t>pakawat.sab@student.mahidol.ac.th</t>
  </si>
  <si>
    <t>SIRIVARINT</t>
  </si>
  <si>
    <t>waris.sir@student.mahidol.ac.th</t>
  </si>
  <si>
    <t>SONSURAT</t>
  </si>
  <si>
    <t>peerawat.son@student.mahidol.ac.th</t>
  </si>
  <si>
    <t>KRITSANA</t>
  </si>
  <si>
    <t>SRIIN</t>
  </si>
  <si>
    <t>kritsana.sr1@student.mahidol.ac.th</t>
  </si>
  <si>
    <t>RAPEEPAN</t>
  </si>
  <si>
    <t>SRININ</t>
  </si>
  <si>
    <t>rapeepan.sri@student.mahidol.ac.th</t>
  </si>
  <si>
    <t>MARTIKA</t>
  </si>
  <si>
    <t>SUKSANTILARP</t>
  </si>
  <si>
    <t>martika.suk@student.mahidol.ac.th</t>
  </si>
  <si>
    <t>PANSYN</t>
  </si>
  <si>
    <t>SUTTIWISEDSAK</t>
  </si>
  <si>
    <t>pansyn.sut@student.mahidol.ac.th</t>
  </si>
  <si>
    <t>CHAYANIN</t>
  </si>
  <si>
    <t>SUWANNIKORNKUL</t>
  </si>
  <si>
    <t>chayanin.suw@student.mahidol.ac.th</t>
  </si>
  <si>
    <t>NATTHATIDA</t>
  </si>
  <si>
    <t>TAWEEPONG</t>
  </si>
  <si>
    <t>natthatida.taw@student.mahidol.ac.th</t>
  </si>
  <si>
    <t>JIRADECH</t>
  </si>
  <si>
    <t>THADAKANT</t>
  </si>
  <si>
    <t>jiradech.tha@student.mahidol.ac.th</t>
  </si>
  <si>
    <t>THANASIRITHIP</t>
  </si>
  <si>
    <t>thanawat.ths@student.mahidol.ac.th</t>
  </si>
  <si>
    <t>TORPAT</t>
  </si>
  <si>
    <t>TIPPAYAMONTRE</t>
  </si>
  <si>
    <t>torpat.tip@student.mahidol.ac.th</t>
  </si>
  <si>
    <t>NUNNAPAT</t>
  </si>
  <si>
    <t>VITINUNTAKIT</t>
  </si>
  <si>
    <t>nunnapat.vit@student.mahidol.ac.th</t>
  </si>
  <si>
    <t>JUGKRAPUN</t>
  </si>
  <si>
    <t>WITHAYAKONKOMON</t>
  </si>
  <si>
    <t>jugkrapun.wit@student.mahidol.ac.th</t>
  </si>
  <si>
    <t>YONGYOT</t>
  </si>
  <si>
    <t>WONGSAENGSUKJAROEN</t>
  </si>
  <si>
    <t>yongyot.won@student.mahidol.ac.th</t>
  </si>
  <si>
    <t>YOTRAKSA</t>
  </si>
  <si>
    <t>nattapat.yot@student.mahidol.ac.th</t>
  </si>
  <si>
    <t>XINYI</t>
  </si>
  <si>
    <t>xinyi.chn@student.mahidol.ac.th</t>
  </si>
  <si>
    <t>PUNNAPAT</t>
  </si>
  <si>
    <t>ANAKLAP</t>
  </si>
  <si>
    <t>punnapat.ana@student.mahidol.ac.th</t>
  </si>
  <si>
    <t>NATTHANIT</t>
  </si>
  <si>
    <t>ANANRATTANAKUN</t>
  </si>
  <si>
    <t>natthanit.ana@student.mahidol.ac.th</t>
  </si>
  <si>
    <t>PACHARAGRON</t>
  </si>
  <si>
    <t>AUMSRI</t>
  </si>
  <si>
    <t>pacharagron.aum@student.mahidol.ac.th</t>
  </si>
  <si>
    <t>BUAKLEE</t>
  </si>
  <si>
    <t>panupong.buk@student.mahidol.ac.th</t>
  </si>
  <si>
    <t>CHALERMNONTAKARN</t>
  </si>
  <si>
    <t>piyada.chl@student.mahidol.ac.th</t>
  </si>
  <si>
    <t>RATTANAWUT</t>
  </si>
  <si>
    <t>KERDLAMCHIAK</t>
  </si>
  <si>
    <t>rattanawut.ker@student.mahidol.ac.th</t>
  </si>
  <si>
    <t>KULISARA</t>
  </si>
  <si>
    <t>KHAMKHOM</t>
  </si>
  <si>
    <t>kulisara.kha@student.mahidol.ac.th</t>
  </si>
  <si>
    <t>SUPANUT</t>
  </si>
  <si>
    <t>KHIEWMEESUAN</t>
  </si>
  <si>
    <t>supanut.khi@student.mahidol.ac.th</t>
  </si>
  <si>
    <t>MUANGTHET</t>
  </si>
  <si>
    <t>supakorn.mun@student.mahidol.ac.th</t>
  </si>
  <si>
    <t>BOONAUM</t>
  </si>
  <si>
    <t>SIANGCHOKOIU</t>
  </si>
  <si>
    <t>Klinton</t>
  </si>
  <si>
    <t>boonaum.sia@student.mahidol.ac.th</t>
  </si>
  <si>
    <t>PACHARA</t>
  </si>
  <si>
    <t>WANGKARNJANAPAS</t>
  </si>
  <si>
    <t>pachara.wan@student.mahidol.ac.th</t>
  </si>
  <si>
    <t>ShowinReport</t>
  </si>
  <si>
    <t>Table Summary Score : For Student</t>
  </si>
  <si>
    <t>Table Summary Score : For Administrator</t>
  </si>
  <si>
    <t>StdYear</t>
  </si>
  <si>
    <t>Category</t>
  </si>
  <si>
    <t>Value</t>
  </si>
  <si>
    <t>DST</t>
  </si>
  <si>
    <t>MU Intensive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</si>
</sst>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B1d\-mmm\-yy"/>
    <numFmt numFmtId="188" formatCode="B1mmm\-yy"/>
    <numFmt numFmtId="189" formatCode="[$-1070000]d/m/yy;@"/>
    <numFmt numFmtId="190" formatCode="[$-1070000]d/mm/yyyy;@"/>
  </numFmts>
  <fonts count="18">
    <font>
      <sz val="11"/>
      <color theme="1"/>
      <name val="Calibri"/>
      <family val="2"/>
      <scheme val="minor"/>
    </font>
    <font>
      <b/>
      <sz val="14"/>
      <name val="TH Sarabun New"/>
      <family val="2"/>
    </font>
    <font>
      <b/>
      <sz val="18"/>
      <name val="TH Sarabun New"/>
      <family val="2"/>
    </font>
    <font>
      <b/>
      <i/>
      <sz val="20"/>
      <name val="TH Sarabun New"/>
      <family val="2"/>
    </font>
    <font>
      <b/>
      <sz val="12"/>
      <name val="TH Sarabun New"/>
      <family val="2"/>
    </font>
    <font>
      <b/>
      <sz val="14"/>
      <name val="TH SarabunPSK"/>
      <family val="2"/>
    </font>
    <font>
      <b/>
      <sz val="16"/>
      <name val="TH SarabunPSK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8"/>
      <name val="TH SarabunPSK"/>
      <family val="2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color theme="1"/>
      <name val="TH SarabunPSK"/>
      <family val="2"/>
    </font>
    <font>
      <sz val="11"/>
      <color rgb="FF000000"/>
      <name val="Arial"/>
      <family val="2"/>
    </font>
    <font>
      <sz val="18"/>
      <color rgb="FFFF0000"/>
      <name val="TH SarabunPSK"/>
      <family val="2"/>
    </font>
    <font>
      <b/>
      <sz val="18"/>
      <color rgb="FF000000"/>
      <name val="TH SarabunPSK"/>
      <family val="2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66FF66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hair">
        <color rgb="FF000000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3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0" fontId="3" fillId="0" borderId="0" xfId="0" applyFont="1"/>
    <xf numFmtId="0" fontId="5" fillId="8" borderId="10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8" fillId="0" borderId="0" xfId="0" applyFont="1"/>
    <xf numFmtId="0" fontId="10" fillId="0" borderId="3" xfId="0" applyFont="1" applyBorder="1"/>
    <xf numFmtId="0" fontId="10" fillId="7" borderId="1" xfId="0" applyFont="1" applyFill="1" applyBorder="1"/>
    <xf numFmtId="0" fontId="11" fillId="0" borderId="2" xfId="0" applyFont="1" applyBorder="1" applyAlignment="1">
      <alignment horizontal="right" vertical="center"/>
    </xf>
    <xf numFmtId="0" fontId="11" fillId="0" borderId="2" xfId="0" applyFont="1" applyBorder="1"/>
    <xf numFmtId="0" fontId="10" fillId="0" borderId="2" xfId="0" applyFont="1" applyBorder="1"/>
    <xf numFmtId="0" fontId="11" fillId="0" borderId="4" xfId="0" applyFont="1" applyBorder="1"/>
    <xf numFmtId="0" fontId="10" fillId="0" borderId="0" xfId="0" applyFont="1"/>
    <xf numFmtId="0" fontId="11" fillId="0" borderId="5" xfId="0" applyFont="1" applyBorder="1"/>
    <xf numFmtId="0" fontId="10" fillId="0" borderId="6" xfId="0" applyFont="1" applyBorder="1"/>
    <xf numFmtId="0" fontId="11" fillId="0" borderId="7" xfId="0" applyFont="1" applyBorder="1"/>
    <xf numFmtId="0" fontId="10" fillId="0" borderId="8" xfId="0" applyFont="1" applyBorder="1"/>
    <xf numFmtId="0" fontId="12" fillId="0" borderId="0" xfId="0" applyFont="1"/>
    <xf numFmtId="14" fontId="12" fillId="0" borderId="0" xfId="0" applyNumberFormat="1" applyFont="1"/>
    <xf numFmtId="0" fontId="11" fillId="0" borderId="4" xfId="0" applyFont="1" applyBorder="1" applyAlignment="1">
      <alignment horizontal="right" vertical="center"/>
    </xf>
    <xf numFmtId="0" fontId="9" fillId="0" borderId="0" xfId="1"/>
    <xf numFmtId="0" fontId="7" fillId="0" borderId="0" xfId="0" applyFont="1"/>
    <xf numFmtId="1" fontId="11" fillId="0" borderId="2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center" vertical="center"/>
    </xf>
    <xf numFmtId="0" fontId="10" fillId="0" borderId="4" xfId="0" applyFont="1" applyBorder="1"/>
    <xf numFmtId="1" fontId="11" fillId="0" borderId="4" xfId="0" applyNumberFormat="1" applyFont="1" applyBorder="1" applyAlignment="1">
      <alignment horizontal="right" vertical="center"/>
    </xf>
    <xf numFmtId="1" fontId="0" fillId="0" borderId="0" xfId="0" applyNumberFormat="1"/>
    <xf numFmtId="187" fontId="12" fillId="0" borderId="0" xfId="0" applyNumberFormat="1" applyFont="1"/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187" fontId="12" fillId="0" borderId="0" xfId="0" applyNumberFormat="1" applyFont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9" fillId="0" borderId="0" xfId="1" applyNumberFormat="1" applyBorder="1"/>
    <xf numFmtId="22" fontId="12" fillId="0" borderId="0" xfId="0" applyNumberFormat="1" applyFont="1"/>
    <xf numFmtId="0" fontId="9" fillId="0" borderId="0" xfId="1" applyBorder="1"/>
    <xf numFmtId="187" fontId="0" fillId="0" borderId="0" xfId="0" applyNumberFormat="1"/>
    <xf numFmtId="0" fontId="13" fillId="0" borderId="0" xfId="0" applyFont="1"/>
    <xf numFmtId="0" fontId="0" fillId="0" borderId="10" xfId="0" applyBorder="1"/>
    <xf numFmtId="0" fontId="14" fillId="0" borderId="0" xfId="0" applyFont="1"/>
    <xf numFmtId="0" fontId="15" fillId="0" borderId="0" xfId="0" applyFont="1"/>
    <xf numFmtId="14" fontId="15" fillId="0" borderId="0" xfId="0" applyNumberFormat="1" applyFont="1"/>
    <xf numFmtId="187" fontId="15" fillId="0" borderId="0" xfId="0" applyNumberFormat="1" applyFont="1"/>
    <xf numFmtId="188" fontId="12" fillId="0" borderId="0" xfId="0" applyNumberFormat="1" applyFont="1"/>
    <xf numFmtId="0" fontId="12" fillId="0" borderId="0" xfId="0" applyFont="1" applyAlignment="1">
      <alignment wrapText="1"/>
    </xf>
    <xf numFmtId="0" fontId="16" fillId="0" borderId="2" xfId="0" applyFont="1" applyBorder="1" applyAlignment="1">
      <alignment horizontal="right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right" vertical="center"/>
    </xf>
    <xf numFmtId="0" fontId="17" fillId="0" borderId="0" xfId="0" applyFont="1" applyAlignment="1">
      <alignment vertical="top" wrapText="1"/>
    </xf>
    <xf numFmtId="188" fontId="15" fillId="0" borderId="0" xfId="0" applyNumberFormat="1" applyFont="1"/>
    <xf numFmtId="17" fontId="12" fillId="0" borderId="0" xfId="0" applyNumberFormat="1" applyFont="1"/>
    <xf numFmtId="0" fontId="12" fillId="0" borderId="0" xfId="0" quotePrefix="1" applyFont="1"/>
    <xf numFmtId="189" fontId="12" fillId="0" borderId="0" xfId="0" applyNumberFormat="1" applyFont="1"/>
    <xf numFmtId="190" fontId="12" fillId="0" borderId="0" xfId="0" applyNumberFormat="1" applyFont="1"/>
    <xf numFmtId="0" fontId="10" fillId="7" borderId="4" xfId="0" applyFont="1" applyFill="1" applyBorder="1"/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</cellXfs>
  <cellStyles count="2">
    <cellStyle name="Hyperlink" xfId="1" builtinId="8"/>
    <cellStyle name="ปกติ" xfId="0" builtinId="0"/>
  </cellStyles>
  <dxfs count="70">
    <dxf>
      <numFmt numFmtId="0" formatCode="General"/>
    </dxf>
    <dxf>
      <numFmt numFmtId="0" formatCode="General"/>
    </dxf>
    <dxf>
      <numFmt numFmtId="1" formatCode="0"/>
    </dxf>
    <dxf>
      <font>
        <sz val="18"/>
        <name val="TH SarabunPSK"/>
      </font>
      <numFmt numFmtId="0" formatCode="General"/>
    </dxf>
    <dxf>
      <font>
        <sz val="18"/>
        <name val="TH SarabunPSK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H SarabunPSK"/>
        <scheme val="none"/>
      </font>
    </dxf>
    <dxf>
      <font>
        <sz val="18"/>
        <name val="TH SarabunPSK"/>
      </font>
    </dxf>
    <dxf>
      <font>
        <sz val="18"/>
        <name val="TH SarabunPSK"/>
      </font>
      <numFmt numFmtId="0" formatCode="General"/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H SarabunPSK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H SarabunPSK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H SarabunPSK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hair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H SarabunPSK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hair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H SarabunPSK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H SarabunPSK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H SarabunPSK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H SarabunPSK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hair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name val="TH SarabunPSK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name val="TH SarabunPSK"/>
      </font>
    </dxf>
    <dxf>
      <font>
        <sz val="18"/>
        <name val="TH SarabunPSK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H SarabunPSK"/>
        <scheme val="none"/>
      </font>
    </dxf>
    <dxf>
      <font>
        <sz val="18"/>
        <name val="TH SarabunPSK"/>
      </font>
    </dxf>
    <dxf>
      <font>
        <sz val="18"/>
        <name val="TH SarabunPSK"/>
      </font>
      <numFmt numFmtId="0" formatCode="General"/>
    </dxf>
    <dxf>
      <font>
        <sz val="18"/>
        <name val="TH SarabunPSK"/>
      </font>
      <numFmt numFmtId="0" formatCode="General"/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sz val="18"/>
        <name val="TH SarabunPSK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H SarabunPSK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H SarabunPSK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H SarabunPSK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hair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H SarabunPSK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H SarabunPSK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H SarabunPSK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H SarabunPSK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H SarabunPSK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hair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name val="TH SarabunPSK"/>
      </font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Test" id="{6285FE98-8559-437B-A284-659AE95C83CC}">
    <nsvFilter filterId="{85C7C391-8A04-4F42-9C3A-38264C0344E8}" ref="A6:AC1164" tableId="1">
      <columnFilter colId="23" id="{CA707BFD-2AAA-4081-9DD0-401B1C7FF304}">
        <filter colId="23">
          <x:filters>
            <x:filter val="klayuth.sar@student.mahidol.ac.th"/>
          </x:filters>
        </filter>
      </columnFilter>
      <sortRules>
        <sortRule colId="4" id="{2DDE8F08-DD8B-42D1-8216-18B4CF47911B}">
          <sortCondition ref="E6:E1164"/>
        </sortRule>
      </sortRules>
    </nsvFilter>
  </namedSheetView>
  <namedSheetView name="Test2" id="{0CA15CFB-6E33-4DD5-93D3-E7550440AA2E}">
    <nsvFilter filterId="{85C7C391-8A04-4F42-9C3A-38264C0344E8}" ref="A6:AC1164" tableId="1">
      <columnFilter colId="23" id="{CA707BFD-2AAA-4081-9DD0-401B1C7FF304}">
        <filter colId="23">
          <x:customFilters>
            <x:customFilter val="*@mahidol.ac.th*"/>
          </x:customFilters>
        </filter>
      </columnFilter>
      <sortRules>
        <sortRule colId="4" id="{2DDE8F08-DD8B-42D1-8216-18B4CF47911B}">
          <sortCondition ref="E6:E1164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01885A-D8DA-41EC-9E29-26ADECF1B712}" name="StudentScore_Test" displayName="StudentScore_Test" ref="A6:AC26" totalsRowShown="0" dataDxfId="68" headerRowBorderDxfId="66" tableBorderDxfId="67">
  <autoFilter ref="A6:AC26" xr:uid="{85C7C391-8A04-4F42-9C3A-38264C0344E8}"/>
  <sortState xmlns:xlrd2="http://schemas.microsoft.com/office/spreadsheetml/2017/richdata2" ref="A7:Z7">
    <sortCondition ref="E6:E7"/>
  </sortState>
  <tableColumns count="29">
    <tableColumn id="1" xr3:uid="{090D5023-54EA-46D0-8269-431D03524876}" name="No." dataDxfId="65"/>
    <tableColumn id="19" xr3:uid="{3E3D8712-F861-48FC-8E62-7FEC4C01EE51}" name="AcademicYear" dataDxfId="64">
      <calculatedColumnFormula>VALUE(LEFT(E7,2))</calculatedColumnFormula>
    </tableColumn>
    <tableColumn id="20" xr3:uid="{7EC1BCE6-1346-43BF-A875-F6A196988DA8}" name="Graduate Year" dataDxfId="63">
      <calculatedColumnFormula>VALUE("25"&amp;B7)-543+3</calculatedColumnFormula>
    </tableColumn>
    <tableColumn id="21" xr3:uid="{E9B2290E-EC1D-427A-893D-C5B90D3AE136}" name="Program" dataDxfId="62"/>
    <tableColumn id="2" xr3:uid="{D0F04E3C-7A41-4D63-ADCA-AC2DEC70DB68}" name="ID" dataDxfId="61"/>
    <tableColumn id="4" xr3:uid="{24393237-3372-4950-830E-CBF59A5AB712}" name="Title" dataDxfId="60"/>
    <tableColumn id="5" xr3:uid="{D1F331BC-5FDD-4694-98E5-87190DB5131F}" name="Firstname" dataDxfId="59"/>
    <tableColumn id="6" xr3:uid="{0F2B94FA-9A2B-41F6-93AC-15CC672F5B2D}" name="Lastname" dataDxfId="58"/>
    <tableColumn id="7" xr3:uid="{C143C819-92A8-4441-A015-48F4A2569E29}" name="Type of Subtitute" dataDxfId="57"/>
    <tableColumn id="8" xr3:uid="{9DCE386C-66BE-44BD-88FF-16BFB3A44EEF}" name="Score" dataDxfId="56"/>
    <tableColumn id="9" xr3:uid="{98EBAF4A-0687-425D-941B-126A7ADF8BC1}" name="Listening" dataDxfId="55"/>
    <tableColumn id="10" xr3:uid="{7008C733-4AE0-4F3F-8C09-B894DC1E47F0}" name="Reading" dataDxfId="54"/>
    <tableColumn id="11" xr3:uid="{62979D99-0714-4CE6-B58E-8D1E2A61C41B}" name="Writing" dataDxfId="53"/>
    <tableColumn id="12" xr3:uid="{561D7CEA-CC7D-4F30-977B-BBD9D348219A}" name="Speaking" dataDxfId="52"/>
    <tableColumn id="24" xr3:uid="{C6A74944-9E91-47B2-AF58-2DD7BAFC1E4D}" name="Literacy" dataDxfId="51"/>
    <tableColumn id="25" xr3:uid="{707AAE18-C00C-4B47-B29E-B4F31B21A77E}" name="Conversation" dataDxfId="50"/>
    <tableColumn id="26" xr3:uid="{D1D29E9D-BC69-4203-91A7-C8F3628F2CCD}" name="Comprehension" dataDxfId="49"/>
    <tableColumn id="27" xr3:uid="{1B3EBB31-D903-4C9C-B3F4-B81C6338EC40}" name="Production" dataDxfId="48"/>
    <tableColumn id="13" xr3:uid="{5B7E2D9E-501B-4961-AF47-EA5913D63649}" name="Test Date" dataDxfId="47"/>
    <tableColumn id="14" xr3:uid="{27FC3CF4-A326-4469-A616-6AF2C0CD4ABD}" name="Annouced date" dataDxfId="46"/>
    <tableColumn id="15" xr3:uid="{F204A135-C187-48D8-8079-479446A11C78}" name="Type for TOEFL" dataDxfId="45"/>
    <tableColumn id="3" xr3:uid="{D8210CD8-9E60-43FD-B26A-4130D1E47043}" name="Client" dataDxfId="44"/>
    <tableColumn id="16" xr3:uid="{26564405-236C-45F7-BFD9-F60734FD4F20}" name="Tel no." dataDxfId="43"/>
    <tableColumn id="17" xr3:uid="{F8FC7C61-B501-40B4-87CB-EF4029EE31C5}" name="Student Email" dataDxfId="42">
      <calculatedColumnFormula>CONCATENATE(LOWER(G7),".",LOWER(LEFT(H7,3)),"@mahidol.ac.th")</calculatedColumnFormula>
    </tableColumn>
    <tableColumn id="18" xr3:uid="{AE4A1F20-ABFE-4C0B-8969-AC885A931043}" name="Approve Date" dataDxfId="41"/>
    <tableColumn id="28" xr3:uid="{85E41249-96CB-42A4-9B84-9B4CBF2087BA}" name="Certificate" dataDxfId="40"/>
    <tableColumn id="23" xr3:uid="{A92C588A-8C5B-4296-8F4B-6511EE7B55D9}" name="รอบเสนอ Dean" dataDxfId="39"/>
    <tableColumn id="22" xr3:uid="{23A3760D-AF8A-48D9-B59E-CA5810CB3CE4}" name="Dean Approve Date" dataDxfId="38"/>
    <tableColumn id="29" xr3:uid="{46C06814-F910-4846-ABC8-F69A4C2F7EF4}" name="Notify to Student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C7C391-8A04-4F42-9C3A-38264C0344E8}" name="StudentScore" displayName="StudentScore" ref="A6:AC1164" totalsRowShown="0" dataDxfId="34" headerRowBorderDxfId="32" tableBorderDxfId="33">
  <autoFilter ref="A6:AC1164" xr:uid="{85C7C391-8A04-4F42-9C3A-38264C0344E8}"/>
  <sortState xmlns:xlrd2="http://schemas.microsoft.com/office/spreadsheetml/2017/richdata2" ref="A7:Z431">
    <sortCondition ref="E6:E431"/>
  </sortState>
  <tableColumns count="29">
    <tableColumn id="1" xr3:uid="{41894F92-61B3-40C5-A61D-A640797420ED}" name="No." dataDxfId="31"/>
    <tableColumn id="19" xr3:uid="{4D82BCEF-A10B-4042-8FE5-F427307AA522}" name="AcademicYear" dataDxfId="30">
      <calculatedColumnFormula>VALUE(LEFT(E7,2))</calculatedColumnFormula>
    </tableColumn>
    <tableColumn id="20" xr3:uid="{87826A87-21BF-4D3F-A8CD-886B94AC7824}" name="Graduate Year" dataDxfId="29">
      <calculatedColumnFormula>VALUE("25"&amp;B7)-543+3</calculatedColumnFormula>
    </tableColumn>
    <tableColumn id="21" xr3:uid="{005BFCF5-FC16-4CF8-BFB0-FBBA541336ED}" name="Program" dataDxfId="28"/>
    <tableColumn id="2" xr3:uid="{2DDE8F08-DD8B-42D1-8216-18B4CF47911B}" name="ID" dataDxfId="27"/>
    <tableColumn id="4" xr3:uid="{EC849922-8A53-40C9-9313-67BDDF2F891F}" name="Title" dataDxfId="26"/>
    <tableColumn id="5" xr3:uid="{9C712FC9-4B31-4567-979C-5D557DBD20FA}" name="Firstname" dataDxfId="25"/>
    <tableColumn id="6" xr3:uid="{62016029-4434-4E22-9A4F-FA11B09DCBA8}" name="Lastname" dataDxfId="24"/>
    <tableColumn id="7" xr3:uid="{6DA7033B-AC94-4CA8-8BCF-41301426533D}" name="Type of Subtitute" dataDxfId="23"/>
    <tableColumn id="8" xr3:uid="{A2C0E15A-2740-432C-9CF2-E00DF15EE4A7}" name="Score" dataDxfId="22"/>
    <tableColumn id="9" xr3:uid="{FBD07E7E-3035-4CCA-B1A3-A5E3CE630AEF}" name="Listening" dataDxfId="21"/>
    <tableColumn id="10" xr3:uid="{C22E7416-DA6C-41CF-B4EA-0D227781F448}" name="Reading" dataDxfId="20"/>
    <tableColumn id="11" xr3:uid="{28912922-8502-4011-BCA4-33B313EDDAB8}" name="Writing" dataDxfId="19"/>
    <tableColumn id="12" xr3:uid="{B982337C-18A8-4CEF-B191-1A1C6AFBD018}" name="Speaking" dataDxfId="18"/>
    <tableColumn id="24" xr3:uid="{D86E052C-4536-454E-A544-7847D3EE8FF3}" name="Literacy" dataDxfId="17"/>
    <tableColumn id="25" xr3:uid="{E29B8758-4F1F-4675-BAB2-948CB5C88D0D}" name="Conversation" dataDxfId="16"/>
    <tableColumn id="26" xr3:uid="{8826CE35-8738-44F4-A146-5AA6D65DFAEB}" name="Comprehension" dataDxfId="15"/>
    <tableColumn id="27" xr3:uid="{4B95BF7C-7092-44B1-8E08-2E6DD82AE3E8}" name="Production" dataDxfId="14"/>
    <tableColumn id="13" xr3:uid="{613AD4D7-D5FD-470D-A462-D9CA6B5E98C1}" name="Test Date" dataDxfId="13"/>
    <tableColumn id="14" xr3:uid="{C0D3D3AF-2E34-443E-B8E6-5E25587A8E33}" name="Annouced date" dataDxfId="12"/>
    <tableColumn id="15" xr3:uid="{0A22A690-8835-48AE-940F-B900E3FFA205}" name="Type for TOEFL" dataDxfId="11"/>
    <tableColumn id="3" xr3:uid="{9304F919-DF38-42DB-975A-EB14719125E7}" name="Client" dataDxfId="10"/>
    <tableColumn id="16" xr3:uid="{99273469-2F3C-4085-B2A8-7E315EDEE0AB}" name="Tel no." dataDxfId="9"/>
    <tableColumn id="17" xr3:uid="{CA707BFD-2AAA-4081-9DD0-401B1C7FF304}" name="Student Email" dataDxfId="8"/>
    <tableColumn id="18" xr3:uid="{E1F08AEC-8AAD-4EE3-B0A5-B25B80D02F90}" name="Approve Date" dataDxfId="7"/>
    <tableColumn id="28" xr3:uid="{74154B4E-CE35-48ED-AFA1-BD60B28C33B3}" name="Certificate" dataDxfId="6"/>
    <tableColumn id="23" xr3:uid="{D5EE40B1-00BE-4FB6-B32E-B4CAA0BDE13E}" name="รอบเสนอ Dean" dataDxfId="5"/>
    <tableColumn id="22" xr3:uid="{CFBCA9E3-A15A-425A-A171-C78B3BDB7CF6}" name="Dean Approve Date" dataDxfId="4"/>
    <tableColumn id="29" xr3:uid="{4A78F3D4-2DED-46ED-80FC-CB2670EDF11D}" name="_ForSystem_StudentEmailNoSpace" dataDxfId="3">
      <calculatedColumnFormula>TRIM(StudentScore[[#This Row],[Student Email]])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990CCF-8B94-4A4B-AB59-34BC75FC2AB5}" name="Subtitute" displayName="Subtitute" ref="A1:B9" totalsRowShown="0">
  <autoFilter ref="A1:B9" xr:uid="{54990CCF-8B94-4A4B-AB59-34BC75FC2AB5}"/>
  <tableColumns count="2">
    <tableColumn id="1" xr3:uid="{CFA2F539-3BA8-4F23-AC4D-43D9F246EF40}" name="Title"/>
    <tableColumn id="2" xr3:uid="{9D3B3975-D8E0-47DA-A9FC-F404D75E4F8F}" name="ShowinReport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F48046-C07C-4144-8237-CD51309994CF}" name="SummaryScore" displayName="SummaryScore" ref="A2:C32" totalsRowShown="0">
  <autoFilter ref="A2:C32" xr:uid="{63F48046-C07C-4144-8237-CD51309994CF}"/>
  <tableColumns count="3">
    <tableColumn id="4" xr3:uid="{D7B73B53-A399-43C5-94F9-DCC74276A71F}" name="StdYear"/>
    <tableColumn id="1" xr3:uid="{2A9044D6-8A44-4076-B965-CA14585C6CDD}" name="Category"/>
    <tableColumn id="2" xr3:uid="{D033721A-4240-4B0D-A632-9A3F65B0D7DF}" name="Value" dataDxfId="1">
      <calculatedColumnFormula>COUNTIFS(Student_ICT!I:I,Summary!$B3,Student_ICT!$B:$B,Summary!$A3)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8668BE-8C7C-466F-94EC-F4D1C58173DA}" name="SummaryScoreAdmin" displayName="SummaryScoreAdmin" ref="E2:H84" totalsRowShown="0">
  <autoFilter ref="E2:H84" xr:uid="{8C8668BE-8C7C-466F-94EC-F4D1C58173DA}"/>
  <tableColumns count="4">
    <tableColumn id="4" xr3:uid="{BC77F969-94C8-4901-8239-6A60A5082733}" name="StdYear"/>
    <tableColumn id="1" xr3:uid="{F7D4BF93-7D01-4935-90E5-28D7667E2A03}" name="Category"/>
    <tableColumn id="3" xr3:uid="{DBDB88AF-9732-4CB8-8231-E83398BDA88B}" name="Program"/>
    <tableColumn id="2" xr3:uid="{31F653D3-FB44-4488-8EC8-493F8CF7BB53}" name="Value" dataDxfId="0">
      <calculatedColumnFormula>COUNTIFS(Student_ICT!$I:$I,Summary!$F3,Student_ICT!$B:$B,Summary!$E3,Student_ICT!$D:$D,Summary!$G3)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5B7DBC-3A28-4E4A-AB97-0F65875C0B1D}" name="Program" displayName="Program" ref="A1:A3" totalsRowShown="0">
  <autoFilter ref="A1:A3" xr:uid="{E35B7DBC-3A28-4E4A-AB97-0F65875C0B1D}">
    <filterColumn colId="0">
      <filters>
        <filter val="ICT"/>
      </filters>
    </filterColumn>
  </autoFilter>
  <tableColumns count="1">
    <tableColumn id="1" xr3:uid="{028868C1-3BCE-4452-A770-AB95BEBA7F21}" name="Progr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nakorn.kan@mahidol.ac.th" TargetMode="External"/><Relationship Id="rId2" Type="http://schemas.openxmlformats.org/officeDocument/2006/relationships/hyperlink" Target="mailto:sudarat.nan@mahidol.ac.th" TargetMode="External"/><Relationship Id="rId1" Type="http://schemas.openxmlformats.org/officeDocument/2006/relationships/hyperlink" Target="mailto:supakorn.pap@mahidol.ac.th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kessrin.tho@mahidol.ac.th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mailto:patipat.che123@mahidol.ac.th" TargetMode="External"/><Relationship Id="rId7" Type="http://schemas.openxmlformats.org/officeDocument/2006/relationships/hyperlink" Target="https://studentmahidolac.sharepoint.com/sites/AcademicTeam603/Shared%20Documents/%E0%B9%81%E0%B8%AD%E0%B8%9B/Microsoft%20Forms/English%20Proficiency%20Test%20for%20Graduation%20-%20English/Please%20attached%20the%20original%20score%20certificate/IMG20221031115214_CHOLRAVEE%20KITTIMETHE.jpg" TargetMode="External"/><Relationship Id="rId2" Type="http://schemas.openxmlformats.org/officeDocument/2006/relationships/hyperlink" Target="mailto:panya.tra@student.mahidol.ac.th" TargetMode="External"/><Relationship Id="rId1" Type="http://schemas.openxmlformats.org/officeDocument/2006/relationships/hyperlink" Target="mailto:thannatorn.tho@student.mahidol.ac.th" TargetMode="External"/><Relationship Id="rId6" Type="http://schemas.openxmlformats.org/officeDocument/2006/relationships/hyperlink" Target="https://studentmahidolac.sharepoint.com/sites/AcademicTeam603/Shared%20Documents/%E0%B9%81%E0%B8%AD%E0%B8%9B/Microsoft%20Forms/English%20Proficiency%20Test%20for%20Graduation%20-%20English/Please%20attached%20the%20original%20score%20certificate/MUELT%20score%20certificate_SUPPAKORN%20POJSOMPHON.png" TargetMode="External"/><Relationship Id="rId5" Type="http://schemas.openxmlformats.org/officeDocument/2006/relationships/hyperlink" Target="../%E0%B9%81%E0%B8%AD%E0%B8%9B/Microsoft%20Forms/English%20Proficiency%20Test%20for%20Graduation%20-%20English/Please%20attached%20the%20original%20score%20certificate/01B9F9BA-08B0-4AF5-BC6D-69585E59A836_JUNHAO%20ZHANG.jpeg" TargetMode="External"/><Relationship Id="rId4" Type="http://schemas.openxmlformats.org/officeDocument/2006/relationships/hyperlink" Target="mailto:woramon.cha@mahidol.ac.th" TargetMode="External"/><Relationship Id="rId9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33DA-44C7-4B09-8FC7-3134C4D6729E}">
  <dimension ref="A1:AE26"/>
  <sheetViews>
    <sheetView topLeftCell="A3" workbookViewId="0">
      <selection activeCell="G14" sqref="G14"/>
    </sheetView>
  </sheetViews>
  <sheetFormatPr defaultColWidth="8.85546875" defaultRowHeight="15"/>
  <cols>
    <col min="1" max="1" width="6.140625" bestFit="1" customWidth="1"/>
    <col min="2" max="3" width="16" style="12" bestFit="1" customWidth="1"/>
    <col min="4" max="4" width="16" style="12" customWidth="1"/>
    <col min="5" max="5" width="14.7109375" bestFit="1" customWidth="1"/>
    <col min="6" max="6" width="11.140625" bestFit="1" customWidth="1"/>
    <col min="7" max="7" width="31" bestFit="1" customWidth="1"/>
    <col min="8" max="8" width="42" bestFit="1" customWidth="1"/>
    <col min="9" max="9" width="18.85546875" customWidth="1"/>
    <col min="11" max="11" width="11" bestFit="1" customWidth="1"/>
    <col min="12" max="12" width="10.28515625" bestFit="1" customWidth="1"/>
    <col min="13" max="13" width="9.140625" bestFit="1" customWidth="1"/>
    <col min="14" max="14" width="10.85546875" bestFit="1" customWidth="1"/>
    <col min="15" max="15" width="10.85546875" customWidth="1"/>
    <col min="16" max="16" width="13.140625" customWidth="1"/>
    <col min="17" max="17" width="15.140625" customWidth="1"/>
    <col min="18" max="18" width="10.85546875" customWidth="1"/>
    <col min="19" max="19" width="12.140625" bestFit="1" customWidth="1"/>
    <col min="20" max="20" width="16.140625" customWidth="1"/>
    <col min="21" max="22" width="17.85546875" customWidth="1"/>
    <col min="23" max="23" width="9.140625" bestFit="1" customWidth="1"/>
    <col min="24" max="24" width="40.28515625" bestFit="1" customWidth="1"/>
    <col min="25" max="25" width="18.7109375" bestFit="1" customWidth="1"/>
    <col min="26" max="26" width="13.7109375" customWidth="1"/>
    <col min="27" max="28" width="21.140625" style="36" customWidth="1"/>
    <col min="31" max="31" width="11.140625" customWidth="1"/>
  </cols>
  <sheetData>
    <row r="1" spans="1:31" ht="18">
      <c r="A1" s="64" t="s">
        <v>0</v>
      </c>
      <c r="B1" s="65"/>
      <c r="C1" s="65"/>
      <c r="D1" s="65"/>
      <c r="E1" s="64"/>
      <c r="F1" s="64"/>
      <c r="G1" s="64"/>
      <c r="H1" s="64"/>
      <c r="I1" s="1"/>
      <c r="J1" s="1"/>
    </row>
    <row r="2" spans="1:31" ht="22.5">
      <c r="A2" s="66" t="s">
        <v>1</v>
      </c>
      <c r="B2" s="67"/>
      <c r="C2" s="67"/>
      <c r="D2" s="67"/>
      <c r="E2" s="66"/>
      <c r="F2" s="66"/>
      <c r="G2" s="66"/>
      <c r="H2" s="66"/>
      <c r="I2" s="2"/>
      <c r="J2" s="2"/>
    </row>
    <row r="3" spans="1:31" ht="25.5">
      <c r="A3" s="68" t="s">
        <v>2</v>
      </c>
      <c r="B3" s="69"/>
      <c r="C3" s="69"/>
      <c r="D3" s="69"/>
      <c r="E3" s="68"/>
      <c r="F3" s="68"/>
      <c r="G3" s="68"/>
      <c r="H3" s="68"/>
      <c r="I3" s="10"/>
      <c r="J3" s="10"/>
    </row>
    <row r="4" spans="1:31">
      <c r="A4" s="70" t="s">
        <v>3</v>
      </c>
      <c r="B4" s="71"/>
      <c r="C4" s="71"/>
      <c r="D4" s="71"/>
      <c r="E4" s="70"/>
      <c r="F4" s="70"/>
      <c r="G4" s="70"/>
      <c r="H4" s="70"/>
      <c r="I4" s="3"/>
      <c r="J4" s="3"/>
    </row>
    <row r="5" spans="1:31">
      <c r="Y5" t="s">
        <v>4</v>
      </c>
      <c r="AA5" s="36" t="s">
        <v>5</v>
      </c>
      <c r="AB5" s="36" t="s">
        <v>6</v>
      </c>
      <c r="AC5" t="s">
        <v>7</v>
      </c>
    </row>
    <row r="6" spans="1:31" ht="38.25">
      <c r="A6" s="4" t="s">
        <v>8</v>
      </c>
      <c r="B6" s="4" t="s">
        <v>9</v>
      </c>
      <c r="C6" s="4" t="s">
        <v>10</v>
      </c>
      <c r="D6" s="4" t="s">
        <v>11</v>
      </c>
      <c r="E6" s="5" t="s">
        <v>12</v>
      </c>
      <c r="F6" s="6" t="s">
        <v>13</v>
      </c>
      <c r="G6" s="6" t="s">
        <v>14</v>
      </c>
      <c r="H6" s="6" t="s">
        <v>15</v>
      </c>
      <c r="I6" s="7" t="s">
        <v>16</v>
      </c>
      <c r="J6" s="7" t="s">
        <v>17</v>
      </c>
      <c r="K6" s="7" t="s">
        <v>18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8" t="s">
        <v>26</v>
      </c>
      <c r="T6" s="8" t="s">
        <v>27</v>
      </c>
      <c r="U6" s="7" t="s">
        <v>28</v>
      </c>
      <c r="V6" s="7" t="s">
        <v>29</v>
      </c>
      <c r="W6" s="9" t="s">
        <v>30</v>
      </c>
      <c r="X6" s="9" t="s">
        <v>31</v>
      </c>
      <c r="Y6" s="11" t="s">
        <v>32</v>
      </c>
      <c r="Z6" s="11" t="s">
        <v>33</v>
      </c>
      <c r="AA6" s="37" t="s">
        <v>34</v>
      </c>
      <c r="AB6" s="37" t="s">
        <v>35</v>
      </c>
      <c r="AC6" s="46" t="s">
        <v>36</v>
      </c>
    </row>
    <row r="7" spans="1:31" ht="27">
      <c r="A7" s="15">
        <v>1</v>
      </c>
      <c r="B7" s="16">
        <f t="shared" ref="B7:B26" si="0">VALUE(LEFT(E7,2))</f>
        <v>63</v>
      </c>
      <c r="C7" s="16">
        <f t="shared" ref="C7:C26" si="1">VALUE("25"&amp;B7)-543+3</f>
        <v>2023</v>
      </c>
      <c r="D7" s="31" t="s">
        <v>37</v>
      </c>
      <c r="E7" s="17">
        <v>6388001</v>
      </c>
      <c r="F7" s="14" t="s">
        <v>38</v>
      </c>
      <c r="G7" s="14" t="s">
        <v>39</v>
      </c>
      <c r="H7" s="18" t="s">
        <v>40</v>
      </c>
      <c r="I7" s="25" t="s">
        <v>41</v>
      </c>
      <c r="J7" s="25">
        <v>5000</v>
      </c>
      <c r="K7" s="25">
        <v>2580</v>
      </c>
      <c r="L7" s="25"/>
      <c r="M7" s="25">
        <v>1300</v>
      </c>
      <c r="N7" s="25">
        <v>1200</v>
      </c>
      <c r="O7" s="25"/>
      <c r="P7" s="25"/>
      <c r="Q7" s="25"/>
      <c r="R7" s="25"/>
      <c r="S7" s="26">
        <v>14882</v>
      </c>
      <c r="T7" s="25"/>
      <c r="U7" s="25" t="s">
        <v>42</v>
      </c>
      <c r="V7" s="25"/>
      <c r="W7" s="25"/>
      <c r="X7" s="43" t="s">
        <v>43</v>
      </c>
      <c r="Y7" s="42">
        <v>44441.662905092591</v>
      </c>
      <c r="Z7" s="25" t="s">
        <v>44</v>
      </c>
      <c r="AA7" s="25"/>
      <c r="AB7" s="25"/>
      <c r="AC7" s="45"/>
      <c r="AE7" s="44"/>
    </row>
    <row r="8" spans="1:31" ht="27">
      <c r="A8" s="15">
        <v>2</v>
      </c>
      <c r="B8" s="27">
        <f t="shared" si="0"/>
        <v>63</v>
      </c>
      <c r="C8" s="27">
        <f t="shared" si="1"/>
        <v>2023</v>
      </c>
      <c r="D8" s="39" t="s">
        <v>37</v>
      </c>
      <c r="E8" s="19">
        <v>6388002</v>
      </c>
      <c r="F8" s="24" t="s">
        <v>45</v>
      </c>
      <c r="G8" s="20" t="s">
        <v>46</v>
      </c>
      <c r="H8" s="32" t="s">
        <v>47</v>
      </c>
      <c r="I8" s="25" t="s">
        <v>48</v>
      </c>
      <c r="J8" s="25">
        <v>1650</v>
      </c>
      <c r="K8" s="25">
        <v>1660</v>
      </c>
      <c r="L8" s="25">
        <v>90</v>
      </c>
      <c r="M8" s="25"/>
      <c r="N8" s="25"/>
      <c r="O8" s="25"/>
      <c r="P8" s="25"/>
      <c r="Q8" s="25"/>
      <c r="R8" s="25"/>
      <c r="S8" s="26">
        <v>44806</v>
      </c>
      <c r="T8" s="25"/>
      <c r="U8" s="25"/>
      <c r="V8" s="25" t="s">
        <v>49</v>
      </c>
      <c r="W8" s="25"/>
      <c r="X8" s="25" t="str">
        <f>CONCATENATE(LOWER(G8),".",LOWER(LEFT(H8,3)),"@mahidol.ac.th")</f>
        <v>siriporn.roj@mahidol.ac.th</v>
      </c>
      <c r="Y8" s="42">
        <v>44441.66609953704</v>
      </c>
      <c r="Z8" s="25" t="s">
        <v>50</v>
      </c>
      <c r="AA8" s="40"/>
      <c r="AB8" s="40"/>
      <c r="AC8" s="45"/>
    </row>
    <row r="9" spans="1:31" ht="27">
      <c r="A9" s="15">
        <v>3</v>
      </c>
      <c r="B9" s="27">
        <f t="shared" si="0"/>
        <v>63</v>
      </c>
      <c r="C9" s="27">
        <f t="shared" si="1"/>
        <v>2023</v>
      </c>
      <c r="D9" s="39" t="s">
        <v>37</v>
      </c>
      <c r="E9" s="19">
        <v>6388003</v>
      </c>
      <c r="F9" s="24" t="s">
        <v>38</v>
      </c>
      <c r="G9" s="20" t="s">
        <v>51</v>
      </c>
      <c r="H9" s="32" t="s">
        <v>52</v>
      </c>
      <c r="I9" s="25" t="s">
        <v>53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 t="str">
        <f t="shared" ref="X9:X10" si="2">CONCATENATE(LOWER(G9),".",LOWER(LEFT(H9,3)),"@mahidol.ac.th")</f>
        <v>pipatpong.niy@mahidol.ac.th</v>
      </c>
      <c r="Y9" s="25"/>
      <c r="Z9" s="25"/>
      <c r="AA9" s="40"/>
      <c r="AB9" s="40"/>
      <c r="AC9" s="45"/>
    </row>
    <row r="10" spans="1:31" ht="27">
      <c r="A10" s="15">
        <v>4</v>
      </c>
      <c r="B10" s="27">
        <f t="shared" si="0"/>
        <v>63</v>
      </c>
      <c r="C10" s="27">
        <f t="shared" si="1"/>
        <v>2023</v>
      </c>
      <c r="D10" s="39" t="s">
        <v>37</v>
      </c>
      <c r="E10" s="17">
        <v>6388004</v>
      </c>
      <c r="F10" s="24" t="s">
        <v>38</v>
      </c>
      <c r="G10" s="20" t="s">
        <v>54</v>
      </c>
      <c r="H10" s="32" t="s">
        <v>55</v>
      </c>
      <c r="I10" s="25" t="s">
        <v>53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 t="str">
        <f t="shared" si="2"/>
        <v>karn.lia@mahidol.ac.th</v>
      </c>
      <c r="Y10" s="25"/>
      <c r="Z10" s="25"/>
      <c r="AA10" s="40"/>
      <c r="AB10" s="40"/>
      <c r="AC10" s="45"/>
    </row>
    <row r="11" spans="1:31" ht="27">
      <c r="A11" s="15">
        <v>5</v>
      </c>
      <c r="B11" s="27">
        <f t="shared" si="0"/>
        <v>61</v>
      </c>
      <c r="C11" s="27">
        <f t="shared" si="1"/>
        <v>2021</v>
      </c>
      <c r="D11" s="39" t="s">
        <v>37</v>
      </c>
      <c r="E11" s="19">
        <v>6188005</v>
      </c>
      <c r="F11" s="24" t="s">
        <v>45</v>
      </c>
      <c r="G11" s="20" t="s">
        <v>56</v>
      </c>
      <c r="H11" s="32" t="s">
        <v>57</v>
      </c>
      <c r="I11" s="25" t="s">
        <v>53</v>
      </c>
      <c r="J11" s="25">
        <v>100</v>
      </c>
      <c r="K11" s="25">
        <v>50</v>
      </c>
      <c r="L11" s="25">
        <v>50</v>
      </c>
      <c r="M11" s="25"/>
      <c r="N11" s="25"/>
      <c r="O11" s="25"/>
      <c r="P11" s="25"/>
      <c r="Q11" s="25"/>
      <c r="R11" s="25"/>
      <c r="S11" s="26">
        <v>44440</v>
      </c>
      <c r="T11" s="25"/>
      <c r="U11" s="25"/>
      <c r="V11" s="25"/>
      <c r="W11" s="25"/>
      <c r="X11" s="25" t="str">
        <f>CONCATENATE(LOWER(G11),".",LOWER(LEFT(H11,3)),"@mahidol.ac.th")</f>
        <v>siripen.pon@mahidol.ac.th</v>
      </c>
      <c r="Y11" s="42">
        <v>44445.443148148152</v>
      </c>
      <c r="Z11" s="25" t="s">
        <v>58</v>
      </c>
      <c r="AA11" s="40"/>
      <c r="AB11" s="40"/>
      <c r="AC11" s="45"/>
    </row>
    <row r="12" spans="1:31" ht="27">
      <c r="A12" s="15">
        <v>6</v>
      </c>
      <c r="B12" s="27">
        <f t="shared" si="0"/>
        <v>61</v>
      </c>
      <c r="C12" s="27">
        <f t="shared" si="1"/>
        <v>2021</v>
      </c>
      <c r="D12" s="39" t="s">
        <v>37</v>
      </c>
      <c r="E12" s="19">
        <v>6188006</v>
      </c>
      <c r="F12" s="24" t="s">
        <v>45</v>
      </c>
      <c r="G12" s="20" t="s">
        <v>59</v>
      </c>
      <c r="H12" s="32" t="s">
        <v>60</v>
      </c>
      <c r="I12" s="25" t="s">
        <v>53</v>
      </c>
      <c r="J12" s="25">
        <v>150</v>
      </c>
      <c r="K12" s="25">
        <v>75</v>
      </c>
      <c r="L12" s="25">
        <v>75</v>
      </c>
      <c r="M12" s="25"/>
      <c r="N12" s="25"/>
      <c r="O12" s="25"/>
      <c r="P12" s="25"/>
      <c r="Q12" s="25"/>
      <c r="R12" s="25"/>
      <c r="S12" s="26">
        <v>44445</v>
      </c>
      <c r="T12" s="25"/>
      <c r="U12" s="25"/>
      <c r="V12" s="25"/>
      <c r="W12" s="25"/>
      <c r="X12" s="25" t="str">
        <f>CONCATENATE(LOWER(G12),".",LOWER(LEFT(H12,3)),"@mahidol.ac.th")</f>
        <v>woramon.cha@mahidol.ac.th</v>
      </c>
      <c r="Y12" s="42">
        <v>44454.545740740738</v>
      </c>
      <c r="Z12" s="25" t="s">
        <v>61</v>
      </c>
      <c r="AA12" s="40"/>
      <c r="AB12" s="40"/>
      <c r="AC12" s="45"/>
    </row>
    <row r="13" spans="1:31" ht="27">
      <c r="A13" s="15">
        <v>7</v>
      </c>
      <c r="B13" s="16">
        <f t="shared" si="0"/>
        <v>61</v>
      </c>
      <c r="C13" s="27">
        <f t="shared" si="1"/>
        <v>2021</v>
      </c>
      <c r="D13" s="39" t="s">
        <v>37</v>
      </c>
      <c r="E13" s="17">
        <v>6188007</v>
      </c>
      <c r="F13" s="24" t="s">
        <v>38</v>
      </c>
      <c r="G13" s="14" t="s">
        <v>62</v>
      </c>
      <c r="H13" s="18" t="s">
        <v>63</v>
      </c>
      <c r="I13" s="25" t="s">
        <v>64</v>
      </c>
      <c r="J13" s="25">
        <v>700</v>
      </c>
      <c r="K13" s="25">
        <v>400</v>
      </c>
      <c r="L13" s="25">
        <v>300</v>
      </c>
      <c r="M13" s="25"/>
      <c r="N13" s="25"/>
      <c r="O13" s="25"/>
      <c r="P13" s="25"/>
      <c r="Q13" s="25"/>
      <c r="R13" s="25"/>
      <c r="S13" s="26">
        <v>44440</v>
      </c>
      <c r="T13" s="25"/>
      <c r="U13" s="25"/>
      <c r="V13" s="25" t="s">
        <v>65</v>
      </c>
      <c r="W13" s="25"/>
      <c r="X13" s="25" t="str">
        <f>CONCATENATE(LOWER(G13),".",LOWER(LEFT(H13,3)),"@mahidol.ac.th")</f>
        <v>patipat.che@mahidol.ac.th</v>
      </c>
      <c r="Y13" s="42">
        <v>44452.691064814811</v>
      </c>
      <c r="Z13" s="25" t="s">
        <v>66</v>
      </c>
      <c r="AA13" s="40"/>
      <c r="AB13" s="40"/>
      <c r="AC13" s="45"/>
    </row>
    <row r="14" spans="1:31" ht="27">
      <c r="A14" s="15">
        <v>8</v>
      </c>
      <c r="B14" s="16">
        <f t="shared" si="0"/>
        <v>60</v>
      </c>
      <c r="C14" s="27">
        <f t="shared" si="1"/>
        <v>2020</v>
      </c>
      <c r="D14" s="39" t="s">
        <v>37</v>
      </c>
      <c r="E14" s="17">
        <v>6088008</v>
      </c>
      <c r="F14" s="24" t="s">
        <v>38</v>
      </c>
      <c r="G14" s="14" t="s">
        <v>67</v>
      </c>
      <c r="H14" s="18" t="s">
        <v>68</v>
      </c>
      <c r="I14" s="25" t="s">
        <v>48</v>
      </c>
      <c r="J14" s="25">
        <v>800</v>
      </c>
      <c r="K14" s="25">
        <v>400</v>
      </c>
      <c r="L14" s="25">
        <v>400</v>
      </c>
      <c r="M14" s="25"/>
      <c r="N14" s="25"/>
      <c r="O14" s="25"/>
      <c r="P14" s="25"/>
      <c r="Q14" s="25"/>
      <c r="R14" s="25"/>
      <c r="S14" s="26">
        <v>44440</v>
      </c>
      <c r="T14" s="25"/>
      <c r="U14" s="25"/>
      <c r="V14" s="25" t="s">
        <v>65</v>
      </c>
      <c r="W14" s="25"/>
      <c r="X14" s="25" t="str">
        <f>CONCATENATE(LOWER(G14),".",LOWER(LEFT(H14,3)),"@mahidol.ac.th")</f>
        <v>poobase.som@mahidol.ac.th</v>
      </c>
      <c r="Y14" s="25"/>
      <c r="Z14" s="25"/>
      <c r="AA14" s="40"/>
      <c r="AB14" s="40"/>
      <c r="AC14" s="45"/>
    </row>
    <row r="15" spans="1:31" ht="27">
      <c r="A15" s="15">
        <v>9</v>
      </c>
      <c r="B15" s="27">
        <f t="shared" si="0"/>
        <v>63</v>
      </c>
      <c r="C15" s="27">
        <f t="shared" si="1"/>
        <v>2023</v>
      </c>
      <c r="D15" s="39" t="s">
        <v>37</v>
      </c>
      <c r="E15" s="19">
        <v>6388009</v>
      </c>
      <c r="F15" s="24" t="s">
        <v>45</v>
      </c>
      <c r="G15" s="20" t="s">
        <v>69</v>
      </c>
      <c r="H15" s="32" t="s">
        <v>70</v>
      </c>
      <c r="I15" s="25" t="s">
        <v>48</v>
      </c>
      <c r="J15" s="25">
        <v>800</v>
      </c>
      <c r="K15" s="25">
        <v>400</v>
      </c>
      <c r="L15" s="25">
        <v>400</v>
      </c>
      <c r="M15" s="25"/>
      <c r="N15" s="25"/>
      <c r="O15" s="25"/>
      <c r="P15" s="25"/>
      <c r="Q15" s="25"/>
      <c r="R15" s="25"/>
      <c r="S15" s="26">
        <v>44440</v>
      </c>
      <c r="T15" s="25"/>
      <c r="U15" s="25"/>
      <c r="V15" s="25" t="s">
        <v>65</v>
      </c>
      <c r="W15" s="25"/>
      <c r="X15" s="25" t="str">
        <f>CONCATENATE(LOWER(G15),".",LOWER(LEFT(H15,3)),"@mahidol.ac.th")</f>
        <v>saengduean.por@mahidol.ac.th</v>
      </c>
      <c r="Y15" s="25"/>
      <c r="Z15" s="25"/>
      <c r="AA15" s="40"/>
      <c r="AB15" s="40"/>
      <c r="AC15" s="45"/>
    </row>
    <row r="16" spans="1:31" ht="27">
      <c r="A16" s="15">
        <v>10</v>
      </c>
      <c r="B16" s="27">
        <f t="shared" si="0"/>
        <v>63</v>
      </c>
      <c r="C16" s="27">
        <f t="shared" si="1"/>
        <v>2023</v>
      </c>
      <c r="D16" s="39" t="s">
        <v>37</v>
      </c>
      <c r="E16" s="19">
        <v>6388010</v>
      </c>
      <c r="F16" s="24" t="s">
        <v>45</v>
      </c>
      <c r="G16" s="20" t="s">
        <v>71</v>
      </c>
      <c r="H16" s="32" t="s">
        <v>72</v>
      </c>
      <c r="I16" s="25" t="s">
        <v>53</v>
      </c>
      <c r="J16" s="25"/>
      <c r="K16" s="25"/>
      <c r="L16" s="25"/>
      <c r="M16" s="25"/>
      <c r="N16" s="25"/>
      <c r="O16" s="25"/>
      <c r="P16" s="25"/>
      <c r="Q16" s="25"/>
      <c r="R16" s="25"/>
      <c r="S16" s="26"/>
      <c r="T16" s="25"/>
      <c r="U16" s="25"/>
      <c r="V16" s="25"/>
      <c r="W16" s="25"/>
      <c r="X16" s="25"/>
      <c r="Y16" s="42"/>
      <c r="Z16" s="25"/>
      <c r="AA16" s="40"/>
      <c r="AB16" s="40"/>
      <c r="AC16" s="45"/>
    </row>
    <row r="17" spans="1:29" ht="27">
      <c r="A17" s="15">
        <v>11</v>
      </c>
      <c r="B17" s="27">
        <f t="shared" si="0"/>
        <v>63</v>
      </c>
      <c r="C17" s="27">
        <f t="shared" si="1"/>
        <v>2023</v>
      </c>
      <c r="D17" s="39" t="s">
        <v>37</v>
      </c>
      <c r="E17" s="17">
        <v>6388011</v>
      </c>
      <c r="F17" s="24" t="s">
        <v>45</v>
      </c>
      <c r="G17" s="20" t="s">
        <v>73</v>
      </c>
      <c r="H17" s="32" t="s">
        <v>74</v>
      </c>
      <c r="I17" s="25" t="s">
        <v>53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41" t="s">
        <v>75</v>
      </c>
      <c r="Y17" s="25"/>
      <c r="Z17" s="25"/>
      <c r="AA17" s="40"/>
      <c r="AB17" s="40"/>
      <c r="AC17" s="45"/>
    </row>
    <row r="18" spans="1:29" ht="27">
      <c r="A18" s="15">
        <v>12</v>
      </c>
      <c r="B18" s="27">
        <f t="shared" si="0"/>
        <v>63</v>
      </c>
      <c r="C18" s="27">
        <f t="shared" si="1"/>
        <v>2023</v>
      </c>
      <c r="D18" s="39" t="s">
        <v>37</v>
      </c>
      <c r="E18" s="19">
        <v>6388012</v>
      </c>
      <c r="F18" s="24" t="s">
        <v>38</v>
      </c>
      <c r="G18" s="20" t="s">
        <v>76</v>
      </c>
      <c r="H18" s="32" t="s">
        <v>77</v>
      </c>
      <c r="I18" s="25" t="s">
        <v>53</v>
      </c>
      <c r="J18" s="25">
        <v>7</v>
      </c>
      <c r="K18" s="25">
        <v>7</v>
      </c>
      <c r="L18" s="25">
        <v>7</v>
      </c>
      <c r="M18" s="25">
        <v>7</v>
      </c>
      <c r="N18" s="25">
        <v>7</v>
      </c>
      <c r="O18" s="25"/>
      <c r="P18" s="25"/>
      <c r="Q18" s="25"/>
      <c r="R18" s="25"/>
      <c r="S18" s="26">
        <v>44448</v>
      </c>
      <c r="T18" s="25"/>
      <c r="U18" s="25"/>
      <c r="V18" s="25"/>
      <c r="W18" s="25"/>
      <c r="X18" s="41" t="s">
        <v>78</v>
      </c>
      <c r="Y18" s="42">
        <v>44448.554432870369</v>
      </c>
      <c r="Z18" s="25" t="s">
        <v>79</v>
      </c>
      <c r="AA18" s="40"/>
      <c r="AB18" s="40"/>
      <c r="AC18" s="45"/>
    </row>
    <row r="19" spans="1:29" ht="27">
      <c r="A19" s="15">
        <v>13</v>
      </c>
      <c r="B19" s="27">
        <f t="shared" si="0"/>
        <v>63</v>
      </c>
      <c r="C19" s="27">
        <f t="shared" si="1"/>
        <v>2023</v>
      </c>
      <c r="D19" s="39" t="s">
        <v>37</v>
      </c>
      <c r="E19" s="19">
        <v>6388013</v>
      </c>
      <c r="F19" s="24" t="s">
        <v>38</v>
      </c>
      <c r="G19" s="20" t="s">
        <v>80</v>
      </c>
      <c r="H19" s="32" t="s">
        <v>81</v>
      </c>
      <c r="I19" s="25" t="s">
        <v>53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 t="str">
        <f t="shared" ref="X19:X25" si="3">CONCATENATE(LOWER(G19),".",LOWER(LEFT(H19,3)),"@mahidol.ac.th")</f>
        <v>itthiphol.mak@mahidol.ac.th</v>
      </c>
      <c r="Y19" s="25"/>
      <c r="Z19" s="25"/>
      <c r="AA19" s="40"/>
      <c r="AB19" s="40"/>
      <c r="AC19" s="45"/>
    </row>
    <row r="20" spans="1:29" ht="27">
      <c r="A20" s="15">
        <v>14</v>
      </c>
      <c r="B20" s="27">
        <f t="shared" si="0"/>
        <v>63</v>
      </c>
      <c r="C20" s="27">
        <f t="shared" si="1"/>
        <v>2023</v>
      </c>
      <c r="D20" s="39" t="s">
        <v>37</v>
      </c>
      <c r="E20" s="17">
        <v>6388014</v>
      </c>
      <c r="F20" s="24" t="s">
        <v>38</v>
      </c>
      <c r="G20" s="20" t="s">
        <v>82</v>
      </c>
      <c r="H20" s="32" t="s">
        <v>83</v>
      </c>
      <c r="I20" s="25" t="s">
        <v>53</v>
      </c>
      <c r="J20" s="25">
        <v>600</v>
      </c>
      <c r="K20" s="25">
        <v>200</v>
      </c>
      <c r="L20" s="25"/>
      <c r="M20" s="25">
        <v>200</v>
      </c>
      <c r="N20" s="25">
        <v>200</v>
      </c>
      <c r="O20" s="25"/>
      <c r="P20" s="25"/>
      <c r="Q20" s="25"/>
      <c r="R20" s="25"/>
      <c r="S20" s="26">
        <v>44427</v>
      </c>
      <c r="T20" s="25"/>
      <c r="U20" s="25" t="s">
        <v>84</v>
      </c>
      <c r="V20" s="25"/>
      <c r="W20" s="25"/>
      <c r="X20" s="25" t="str">
        <f t="shared" si="3"/>
        <v>alexander.sal@mahidol.ac.th</v>
      </c>
      <c r="Y20" s="42">
        <v>44441.675567129627</v>
      </c>
      <c r="Z20" s="25" t="s">
        <v>85</v>
      </c>
      <c r="AA20" s="40"/>
      <c r="AB20" s="40"/>
      <c r="AC20" s="45"/>
    </row>
    <row r="21" spans="1:29" ht="27">
      <c r="A21" s="15">
        <v>16</v>
      </c>
      <c r="B21" s="27">
        <f t="shared" si="0"/>
        <v>62</v>
      </c>
      <c r="C21" s="27">
        <f t="shared" si="1"/>
        <v>2022</v>
      </c>
      <c r="D21" s="39" t="s">
        <v>37</v>
      </c>
      <c r="E21" s="19">
        <v>6288016</v>
      </c>
      <c r="F21" s="24" t="s">
        <v>45</v>
      </c>
      <c r="G21" s="20" t="s">
        <v>86</v>
      </c>
      <c r="H21" s="32" t="s">
        <v>87</v>
      </c>
      <c r="I21" s="25" t="s">
        <v>53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 t="str">
        <f t="shared" si="3"/>
        <v>noppawan.ral@mahidol.ac.th</v>
      </c>
      <c r="Y21" s="25"/>
      <c r="Z21" s="25"/>
      <c r="AA21" s="40"/>
      <c r="AB21" s="40"/>
      <c r="AC21" s="45"/>
    </row>
    <row r="22" spans="1:29" ht="27">
      <c r="A22" s="15">
        <v>17</v>
      </c>
      <c r="B22" s="27">
        <f t="shared" si="0"/>
        <v>63</v>
      </c>
      <c r="C22" s="27">
        <f t="shared" si="1"/>
        <v>2023</v>
      </c>
      <c r="D22" s="39" t="s">
        <v>37</v>
      </c>
      <c r="E22" s="17">
        <v>6388017</v>
      </c>
      <c r="F22" s="24" t="s">
        <v>38</v>
      </c>
      <c r="G22" s="20" t="s">
        <v>88</v>
      </c>
      <c r="H22" s="32" t="s">
        <v>89</v>
      </c>
      <c r="I22" s="25" t="s">
        <v>53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 t="str">
        <f t="shared" si="3"/>
        <v>prach.cha@mahidol.ac.th</v>
      </c>
      <c r="Y22" s="25"/>
      <c r="Z22" s="25"/>
      <c r="AA22" s="40"/>
      <c r="AB22" s="40"/>
      <c r="AC22" s="45"/>
    </row>
    <row r="23" spans="1:29" ht="27">
      <c r="A23" s="15">
        <v>18</v>
      </c>
      <c r="B23" s="27">
        <f t="shared" si="0"/>
        <v>61</v>
      </c>
      <c r="C23" s="27">
        <f t="shared" si="1"/>
        <v>2021</v>
      </c>
      <c r="D23" s="39" t="s">
        <v>37</v>
      </c>
      <c r="E23" s="19">
        <v>6188018</v>
      </c>
      <c r="F23" s="24" t="s">
        <v>45</v>
      </c>
      <c r="G23" s="20" t="s">
        <v>90</v>
      </c>
      <c r="H23" s="32" t="s">
        <v>91</v>
      </c>
      <c r="I23" s="25" t="s">
        <v>53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 t="str">
        <f t="shared" si="3"/>
        <v>kullaporn.hon@mahidol.ac.th</v>
      </c>
      <c r="Y23" s="25"/>
      <c r="Z23" s="25"/>
      <c r="AA23" s="40"/>
      <c r="AB23" s="40"/>
      <c r="AC23" s="45"/>
    </row>
    <row r="24" spans="1:29" ht="27">
      <c r="A24" s="15">
        <v>19</v>
      </c>
      <c r="B24" s="27">
        <f t="shared" si="0"/>
        <v>61</v>
      </c>
      <c r="C24" s="27">
        <f t="shared" si="1"/>
        <v>2021</v>
      </c>
      <c r="D24" s="39" t="s">
        <v>37</v>
      </c>
      <c r="E24" s="17">
        <v>6188019</v>
      </c>
      <c r="F24" s="24" t="s">
        <v>45</v>
      </c>
      <c r="G24" s="20" t="s">
        <v>92</v>
      </c>
      <c r="H24" s="32" t="s">
        <v>93</v>
      </c>
      <c r="I24" s="25" t="s">
        <v>53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 t="str">
        <f t="shared" si="3"/>
        <v>buntida.suv@mahidol.ac.th</v>
      </c>
      <c r="Y24" s="25"/>
      <c r="Z24" s="25"/>
      <c r="AA24" s="40"/>
      <c r="AB24" s="40"/>
      <c r="AC24" s="45"/>
    </row>
    <row r="25" spans="1:29" ht="27">
      <c r="A25" s="15">
        <v>20</v>
      </c>
      <c r="B25" s="27">
        <f t="shared" si="0"/>
        <v>61</v>
      </c>
      <c r="C25" s="27">
        <f t="shared" si="1"/>
        <v>2021</v>
      </c>
      <c r="D25" s="39" t="s">
        <v>37</v>
      </c>
      <c r="E25" s="19">
        <v>6188020</v>
      </c>
      <c r="F25" s="24" t="s">
        <v>38</v>
      </c>
      <c r="G25" s="20" t="s">
        <v>94</v>
      </c>
      <c r="H25" s="32" t="s">
        <v>95</v>
      </c>
      <c r="I25" s="25" t="s">
        <v>53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 t="str">
        <f t="shared" si="3"/>
        <v>jira.hut@mahidol.ac.th</v>
      </c>
      <c r="Y25" s="25"/>
      <c r="Z25" s="25"/>
      <c r="AA25" s="40"/>
      <c r="AB25" s="40"/>
      <c r="AC25" s="45"/>
    </row>
    <row r="26" spans="1:29" ht="27">
      <c r="A26" s="15">
        <v>21</v>
      </c>
      <c r="B26" s="27">
        <f t="shared" si="0"/>
        <v>61</v>
      </c>
      <c r="C26" s="27">
        <f t="shared" si="1"/>
        <v>2021</v>
      </c>
      <c r="D26" s="39" t="s">
        <v>37</v>
      </c>
      <c r="E26" s="17">
        <v>6188021</v>
      </c>
      <c r="F26" s="24" t="s">
        <v>45</v>
      </c>
      <c r="G26" s="20" t="s">
        <v>96</v>
      </c>
      <c r="H26" s="32" t="s">
        <v>97</v>
      </c>
      <c r="I26" s="25" t="s">
        <v>53</v>
      </c>
      <c r="J26" s="25"/>
      <c r="K26" s="25"/>
      <c r="L26" s="25"/>
      <c r="M26" s="25"/>
      <c r="N26" s="25"/>
      <c r="O26" s="25"/>
      <c r="P26" s="25"/>
      <c r="Q26" s="25"/>
      <c r="R26" s="25"/>
      <c r="S26" s="26"/>
      <c r="T26" s="25"/>
      <c r="U26" s="25"/>
      <c r="V26" s="25"/>
      <c r="W26" s="25"/>
      <c r="X26" s="41" t="s">
        <v>98</v>
      </c>
      <c r="Y26" s="42"/>
      <c r="Z26" s="25"/>
      <c r="AA26" s="40"/>
      <c r="AB26" s="40"/>
      <c r="AC26" s="45"/>
    </row>
  </sheetData>
  <mergeCells count="4">
    <mergeCell ref="A1:H1"/>
    <mergeCell ref="A2:H2"/>
    <mergeCell ref="A3:H3"/>
    <mergeCell ref="A4:H4"/>
  </mergeCells>
  <conditionalFormatting sqref="Y7:Z26">
    <cfRule type="containsText" dxfId="69" priority="1" operator="containsText" text="Not Complete">
      <formula>NOT(ISERROR(SEARCH("Not Complete",Y7)))</formula>
    </cfRule>
  </conditionalFormatting>
  <hyperlinks>
    <hyperlink ref="X18" r:id="rId1" xr:uid="{E2D6C329-EFA4-419E-B89A-79D48A203907}"/>
    <hyperlink ref="X17" r:id="rId2" xr:uid="{0570F9D8-BEE9-4669-9E07-6335363FE8ED}"/>
    <hyperlink ref="X7" r:id="rId3" xr:uid="{1F60295C-D6FF-4A43-AC93-75B29CE988F5}"/>
    <hyperlink ref="X26" r:id="rId4" xr:uid="{AC7B33FD-B30F-4123-AC44-F6D8494A3C37}"/>
  </hyperlinks>
  <pageMargins left="0.7" right="0.7" top="0.75" bottom="0.75" header="0.3" footer="0.3"/>
  <pageSetup orientation="portrait" horizontalDpi="1200" verticalDpi="1200" r:id="rId5"/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D26DD3E-7D63-44D7-9AC7-9ABD043B348E}">
          <x14:formula1>
            <xm:f>Program!$A$2:$A$3</xm:f>
          </x14:formula1>
          <xm:sqref>D7:D26</xm:sqref>
        </x14:dataValidation>
        <x14:dataValidation type="list" allowBlank="1" showInputMessage="1" showErrorMessage="1" xr:uid="{9E4D3F19-5EF8-4414-ACF8-CC2F03804165}">
          <x14:formula1>
            <xm:f>Subtitute!$A$2:$A$8</xm:f>
          </x14:formula1>
          <xm:sqref>I7:I26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C1164"/>
  <sheetViews>
    <sheetView tabSelected="1" topLeftCell="A491" workbookViewId="0">
      <selection activeCell="E334" sqref="E334"/>
    </sheetView>
  </sheetViews>
  <sheetFormatPr defaultColWidth="8.85546875" defaultRowHeight="15"/>
  <cols>
    <col min="1" max="1" width="6.140625" bestFit="1" customWidth="1"/>
    <col min="2" max="2" width="16.140625" style="12" customWidth="1"/>
    <col min="3" max="3" width="16" style="12" bestFit="1" customWidth="1"/>
    <col min="4" max="4" width="16" style="12" customWidth="1"/>
    <col min="5" max="5" width="14.7109375" bestFit="1" customWidth="1"/>
    <col min="6" max="6" width="11.140625" bestFit="1" customWidth="1"/>
    <col min="7" max="7" width="31" bestFit="1" customWidth="1"/>
    <col min="8" max="8" width="42" bestFit="1" customWidth="1"/>
    <col min="9" max="9" width="18.85546875" customWidth="1"/>
    <col min="10" max="10" width="10" bestFit="1" customWidth="1"/>
    <col min="11" max="11" width="11" bestFit="1" customWidth="1"/>
    <col min="12" max="12" width="10.28515625" bestFit="1" customWidth="1"/>
    <col min="13" max="13" width="9.140625" bestFit="1" customWidth="1"/>
    <col min="14" max="14" width="10.85546875" bestFit="1" customWidth="1"/>
    <col min="15" max="15" width="10.85546875" customWidth="1"/>
    <col min="16" max="16" width="13.140625" customWidth="1"/>
    <col min="17" max="17" width="15.140625" customWidth="1"/>
    <col min="18" max="18" width="10.85546875" customWidth="1"/>
    <col min="19" max="19" width="18.140625" customWidth="1"/>
    <col min="20" max="20" width="16.140625" customWidth="1"/>
    <col min="21" max="22" width="17.85546875" customWidth="1"/>
    <col min="23" max="23" width="15.140625" bestFit="1" customWidth="1"/>
    <col min="24" max="24" width="45.28515625" bestFit="1" customWidth="1"/>
    <col min="25" max="25" width="19.5703125" bestFit="1" customWidth="1"/>
    <col min="26" max="26" width="13.7109375" customWidth="1"/>
    <col min="27" max="27" width="21.140625" style="36" customWidth="1"/>
    <col min="28" max="28" width="29.7109375" style="36" customWidth="1"/>
    <col min="29" max="29" width="8.85546875" customWidth="1"/>
  </cols>
  <sheetData>
    <row r="1" spans="1:29" ht="18">
      <c r="A1" s="64" t="s">
        <v>0</v>
      </c>
      <c r="B1" s="65"/>
      <c r="C1" s="65"/>
      <c r="D1" s="65"/>
      <c r="E1" s="64"/>
      <c r="F1" s="64"/>
      <c r="G1" s="64"/>
      <c r="H1" s="64"/>
      <c r="I1" s="1"/>
      <c r="J1" s="1"/>
    </row>
    <row r="2" spans="1:29" ht="22.5">
      <c r="A2" s="66" t="s">
        <v>1</v>
      </c>
      <c r="B2" s="67"/>
      <c r="C2" s="67"/>
      <c r="D2" s="67"/>
      <c r="E2" s="66"/>
      <c r="F2" s="66"/>
      <c r="G2" s="66"/>
      <c r="H2" s="66"/>
      <c r="I2" s="2"/>
      <c r="J2" s="2"/>
    </row>
    <row r="3" spans="1:29" ht="25.5">
      <c r="A3" s="68" t="s">
        <v>2</v>
      </c>
      <c r="B3" s="69"/>
      <c r="C3" s="69"/>
      <c r="D3" s="69"/>
      <c r="E3" s="68"/>
      <c r="F3" s="68"/>
      <c r="G3" s="68"/>
      <c r="H3" s="68"/>
      <c r="I3" s="10"/>
      <c r="J3" s="10"/>
    </row>
    <row r="4" spans="1:29">
      <c r="A4" s="70" t="s">
        <v>3</v>
      </c>
      <c r="B4" s="71"/>
      <c r="C4" s="71"/>
      <c r="D4" s="71"/>
      <c r="E4" s="70"/>
      <c r="F4" s="70"/>
      <c r="G4" s="70"/>
      <c r="H4" s="70"/>
      <c r="I4" s="3"/>
      <c r="J4" s="3"/>
    </row>
    <row r="5" spans="1:29" ht="41.25">
      <c r="AA5" s="56" t="s">
        <v>5</v>
      </c>
      <c r="AB5" s="56" t="s">
        <v>6</v>
      </c>
    </row>
    <row r="6" spans="1:29" ht="38.25">
      <c r="A6" s="4" t="s">
        <v>8</v>
      </c>
      <c r="B6" s="4" t="s">
        <v>9</v>
      </c>
      <c r="C6" s="4" t="s">
        <v>10</v>
      </c>
      <c r="D6" s="4" t="s">
        <v>11</v>
      </c>
      <c r="E6" s="5" t="s">
        <v>12</v>
      </c>
      <c r="F6" s="6" t="s">
        <v>13</v>
      </c>
      <c r="G6" s="6" t="s">
        <v>14</v>
      </c>
      <c r="H6" s="6" t="s">
        <v>15</v>
      </c>
      <c r="I6" s="7" t="s">
        <v>16</v>
      </c>
      <c r="J6" s="7" t="s">
        <v>17</v>
      </c>
      <c r="K6" s="7" t="s">
        <v>18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8" t="s">
        <v>26</v>
      </c>
      <c r="T6" s="8" t="s">
        <v>27</v>
      </c>
      <c r="U6" s="7" t="s">
        <v>28</v>
      </c>
      <c r="V6" s="7" t="s">
        <v>29</v>
      </c>
      <c r="W6" s="9" t="s">
        <v>30</v>
      </c>
      <c r="X6" s="9" t="s">
        <v>31</v>
      </c>
      <c r="Y6" s="11" t="s">
        <v>32</v>
      </c>
      <c r="Z6" s="11" t="s">
        <v>33</v>
      </c>
      <c r="AA6" s="37" t="s">
        <v>34</v>
      </c>
      <c r="AB6" s="37" t="s">
        <v>35</v>
      </c>
      <c r="AC6" s="46" t="s">
        <v>99</v>
      </c>
    </row>
    <row r="7" spans="1:29" ht="27">
      <c r="A7" s="15">
        <v>1</v>
      </c>
      <c r="B7" s="53">
        <f t="shared" ref="B7:B431" si="0">VALUE(LEFT(E7,2))</f>
        <v>58</v>
      </c>
      <c r="C7" s="53">
        <f t="shared" ref="C7:C431" si="1">VALUE("25"&amp;B7)-543+3</f>
        <v>2018</v>
      </c>
      <c r="D7" s="54"/>
      <c r="E7" s="21">
        <v>5888012</v>
      </c>
      <c r="F7" s="22" t="s">
        <v>38</v>
      </c>
      <c r="G7" s="14" t="s">
        <v>100</v>
      </c>
      <c r="H7" s="18" t="s">
        <v>101</v>
      </c>
      <c r="I7" s="48" t="s">
        <v>102</v>
      </c>
      <c r="J7" s="48">
        <v>76</v>
      </c>
      <c r="K7" s="48"/>
      <c r="L7" s="48"/>
      <c r="M7" s="48"/>
      <c r="N7" s="48"/>
      <c r="O7" s="48"/>
      <c r="P7" s="48"/>
      <c r="Q7" s="48"/>
      <c r="R7" s="48"/>
      <c r="S7" s="49"/>
      <c r="T7" s="57">
        <v>44531</v>
      </c>
      <c r="U7" s="48"/>
      <c r="V7" s="25"/>
      <c r="W7" s="48" t="s">
        <v>103</v>
      </c>
      <c r="X7" s="48" t="s">
        <v>104</v>
      </c>
      <c r="Y7" s="48"/>
      <c r="Z7" s="48"/>
      <c r="AA7" s="50"/>
      <c r="AB7" s="48"/>
      <c r="AC7" s="25" t="str">
        <f>TRIM(StudentScore[[#This Row],[Student Email]])</f>
        <v>putthichai.cha@student.mahidol.edu</v>
      </c>
    </row>
    <row r="8" spans="1:29" ht="27">
      <c r="A8" s="15">
        <v>2</v>
      </c>
      <c r="B8" s="53">
        <f t="shared" ref="B8:B39" si="2">VALUE(LEFT(E8,2))</f>
        <v>59</v>
      </c>
      <c r="C8" s="55">
        <f t="shared" ref="C8:C39" si="3">VALUE("25"&amp;B8)-543+3</f>
        <v>2019</v>
      </c>
      <c r="D8" s="54"/>
      <c r="E8" s="17">
        <v>5988181</v>
      </c>
      <c r="F8" s="14" t="s">
        <v>38</v>
      </c>
      <c r="G8" s="14" t="s">
        <v>105</v>
      </c>
      <c r="H8" s="18" t="s">
        <v>106</v>
      </c>
      <c r="I8" s="25" t="s">
        <v>64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 t="s">
        <v>107</v>
      </c>
      <c r="X8" s="25" t="s">
        <v>108</v>
      </c>
      <c r="Y8" s="25"/>
      <c r="Z8" s="25"/>
      <c r="AA8" s="25"/>
      <c r="AB8" s="25"/>
      <c r="AC8" s="25" t="str">
        <f>TRIM(StudentScore[[#This Row],[Student Email]])</f>
        <v>warintorn.vis@student.mahidol.ac.th</v>
      </c>
    </row>
    <row r="9" spans="1:29" ht="27">
      <c r="A9" s="15">
        <v>3</v>
      </c>
      <c r="B9" s="16">
        <f t="shared" si="2"/>
        <v>59</v>
      </c>
      <c r="C9" s="27">
        <f t="shared" si="3"/>
        <v>2019</v>
      </c>
      <c r="D9" s="54"/>
      <c r="E9" s="17">
        <v>5988259</v>
      </c>
      <c r="F9" s="14" t="s">
        <v>38</v>
      </c>
      <c r="G9" s="14" t="s">
        <v>109</v>
      </c>
      <c r="H9" s="18" t="s">
        <v>110</v>
      </c>
      <c r="I9" s="25" t="s">
        <v>64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 t="s">
        <v>111</v>
      </c>
      <c r="X9" s="25" t="s">
        <v>112</v>
      </c>
      <c r="Y9" s="25"/>
      <c r="Z9" s="25"/>
      <c r="AA9" s="25"/>
      <c r="AB9" s="25"/>
      <c r="AC9" s="25" t="str">
        <f>TRIM(StudentScore[[#This Row],[Student Email]])</f>
        <v>rapipat.udo@student.mahidol.ac.th</v>
      </c>
    </row>
    <row r="10" spans="1:29" ht="27">
      <c r="A10" s="15">
        <v>4</v>
      </c>
      <c r="B10" s="16">
        <f t="shared" si="2"/>
        <v>60</v>
      </c>
      <c r="C10" s="27">
        <f t="shared" si="3"/>
        <v>2020</v>
      </c>
      <c r="D10" s="54"/>
      <c r="E10" s="17">
        <v>6088228</v>
      </c>
      <c r="F10" s="14" t="s">
        <v>38</v>
      </c>
      <c r="G10" s="14" t="s">
        <v>113</v>
      </c>
      <c r="H10" s="18" t="s">
        <v>114</v>
      </c>
      <c r="I10" s="25" t="s">
        <v>102</v>
      </c>
      <c r="J10" s="25">
        <v>76</v>
      </c>
      <c r="K10" s="25"/>
      <c r="L10" s="25"/>
      <c r="M10" s="25"/>
      <c r="N10" s="25"/>
      <c r="O10" s="25"/>
      <c r="P10" s="25"/>
      <c r="Q10" s="25"/>
      <c r="R10" s="25"/>
      <c r="S10" s="25"/>
      <c r="T10" s="51">
        <v>44682</v>
      </c>
      <c r="U10" s="25"/>
      <c r="V10" s="25"/>
      <c r="W10" s="25" t="s">
        <v>115</v>
      </c>
      <c r="X10" s="25" t="s">
        <v>116</v>
      </c>
      <c r="Y10" s="25"/>
      <c r="Z10" s="25"/>
      <c r="AA10" s="25"/>
      <c r="AB10" s="25"/>
      <c r="AC10" s="25" t="str">
        <f>TRIM(StudentScore[[#This Row],[Student Email]])</f>
        <v>varuit.wui@student.mahidol.ac.th</v>
      </c>
    </row>
    <row r="11" spans="1:29" ht="27">
      <c r="A11" s="15">
        <v>5</v>
      </c>
      <c r="B11" s="16">
        <f t="shared" si="2"/>
        <v>61</v>
      </c>
      <c r="C11" s="27">
        <f t="shared" si="3"/>
        <v>2021</v>
      </c>
      <c r="D11" s="54"/>
      <c r="E11" s="17">
        <v>6188001</v>
      </c>
      <c r="F11" s="14" t="s">
        <v>117</v>
      </c>
      <c r="G11" s="14" t="s">
        <v>118</v>
      </c>
      <c r="H11" s="18" t="s">
        <v>119</v>
      </c>
      <c r="I11" s="25" t="s">
        <v>41</v>
      </c>
      <c r="J11" s="25">
        <v>543</v>
      </c>
      <c r="K11" s="25">
        <v>57</v>
      </c>
      <c r="L11" s="25">
        <v>50</v>
      </c>
      <c r="M11" s="25">
        <v>56</v>
      </c>
      <c r="N11" s="25"/>
      <c r="O11" s="25"/>
      <c r="P11" s="25"/>
      <c r="Q11" s="25"/>
      <c r="R11" s="25"/>
      <c r="S11" s="35">
        <v>44347</v>
      </c>
      <c r="T11" s="51">
        <v>44348</v>
      </c>
      <c r="U11" s="25"/>
      <c r="V11" s="25"/>
      <c r="W11" s="25" t="s">
        <v>120</v>
      </c>
      <c r="X11" s="25" t="s">
        <v>121</v>
      </c>
      <c r="Y11" s="25"/>
      <c r="Z11" s="25"/>
      <c r="AA11" s="25"/>
      <c r="AB11" s="25"/>
      <c r="AC11" s="25" t="str">
        <f>TRIM(StudentScore[[#This Row],[Student Email]])</f>
        <v>vidchayada.cha@student.mahidol.ac.th</v>
      </c>
    </row>
    <row r="12" spans="1:29" ht="27">
      <c r="A12" s="15">
        <v>6</v>
      </c>
      <c r="B12" s="16">
        <f t="shared" si="2"/>
        <v>61</v>
      </c>
      <c r="C12" s="27">
        <f t="shared" si="3"/>
        <v>2021</v>
      </c>
      <c r="D12" s="54"/>
      <c r="E12" s="17">
        <v>6188002</v>
      </c>
      <c r="F12" s="14" t="s">
        <v>117</v>
      </c>
      <c r="G12" s="14" t="s">
        <v>122</v>
      </c>
      <c r="H12" s="18" t="s">
        <v>123</v>
      </c>
      <c r="I12" s="25" t="s">
        <v>124</v>
      </c>
      <c r="J12" s="25">
        <v>5.5</v>
      </c>
      <c r="K12" s="25">
        <v>5.5</v>
      </c>
      <c r="L12" s="25">
        <v>6</v>
      </c>
      <c r="M12" s="25">
        <v>5.5</v>
      </c>
      <c r="N12" s="25">
        <v>5</v>
      </c>
      <c r="O12" s="25"/>
      <c r="P12" s="25"/>
      <c r="Q12" s="25"/>
      <c r="R12" s="25"/>
      <c r="S12" s="35">
        <v>43574</v>
      </c>
      <c r="T12" s="51">
        <v>43556</v>
      </c>
      <c r="U12" s="25"/>
      <c r="V12" s="25"/>
      <c r="W12" s="25" t="s">
        <v>125</v>
      </c>
      <c r="X12" s="25" t="s">
        <v>126</v>
      </c>
      <c r="Y12" s="25"/>
      <c r="Z12" s="25"/>
      <c r="AA12" s="25"/>
      <c r="AB12" s="25"/>
      <c r="AC12" s="25" t="str">
        <f>TRIM(StudentScore[[#This Row],[Student Email]])</f>
        <v>ramita.cho@student.mahidol.ac.th</v>
      </c>
    </row>
    <row r="13" spans="1:29" ht="27">
      <c r="A13" s="15">
        <v>7</v>
      </c>
      <c r="B13" s="16">
        <f t="shared" si="2"/>
        <v>61</v>
      </c>
      <c r="C13" s="27">
        <f t="shared" si="3"/>
        <v>2021</v>
      </c>
      <c r="D13" s="54"/>
      <c r="E13" s="17">
        <v>6188003</v>
      </c>
      <c r="F13" s="14" t="s">
        <v>117</v>
      </c>
      <c r="G13" s="14" t="s">
        <v>127</v>
      </c>
      <c r="H13" s="18" t="s">
        <v>128</v>
      </c>
      <c r="I13" s="25" t="s">
        <v>48</v>
      </c>
      <c r="J13" s="25">
        <v>670</v>
      </c>
      <c r="K13" s="25">
        <v>370</v>
      </c>
      <c r="L13" s="25">
        <v>300</v>
      </c>
      <c r="M13" s="25"/>
      <c r="N13" s="25"/>
      <c r="O13" s="25"/>
      <c r="P13" s="25"/>
      <c r="Q13" s="25"/>
      <c r="R13" s="25"/>
      <c r="S13" s="35">
        <v>43880</v>
      </c>
      <c r="T13" s="51">
        <v>43862</v>
      </c>
      <c r="U13" s="25"/>
      <c r="V13" s="25"/>
      <c r="W13" s="25" t="s">
        <v>129</v>
      </c>
      <c r="X13" s="25" t="s">
        <v>130</v>
      </c>
      <c r="Y13" s="25"/>
      <c r="Z13" s="25"/>
      <c r="AA13" s="25"/>
      <c r="AB13" s="25"/>
      <c r="AC13" s="25" t="str">
        <f>TRIM(StudentScore[[#This Row],[Student Email]])</f>
        <v>aoravee.don@student.mahidol.ac.th</v>
      </c>
    </row>
    <row r="14" spans="1:29" ht="27">
      <c r="A14" s="15">
        <v>8</v>
      </c>
      <c r="B14" s="16">
        <f t="shared" si="2"/>
        <v>61</v>
      </c>
      <c r="C14" s="27">
        <f t="shared" si="3"/>
        <v>2021</v>
      </c>
      <c r="D14" s="54"/>
      <c r="E14" s="17">
        <v>6188005</v>
      </c>
      <c r="F14" s="14" t="s">
        <v>117</v>
      </c>
      <c r="G14" s="14" t="s">
        <v>131</v>
      </c>
      <c r="H14" s="18" t="s">
        <v>132</v>
      </c>
      <c r="I14" s="25" t="s">
        <v>133</v>
      </c>
      <c r="J14" s="25">
        <v>100</v>
      </c>
      <c r="K14" s="25"/>
      <c r="L14" s="25"/>
      <c r="M14" s="25"/>
      <c r="N14" s="25"/>
      <c r="O14" s="25"/>
      <c r="P14" s="25"/>
      <c r="Q14" s="25"/>
      <c r="R14" s="25"/>
      <c r="S14" s="35">
        <v>44355</v>
      </c>
      <c r="T14" s="51">
        <v>44348</v>
      </c>
      <c r="U14" s="25"/>
      <c r="V14" s="25"/>
      <c r="W14" s="25" t="s">
        <v>134</v>
      </c>
      <c r="X14" s="25" t="s">
        <v>135</v>
      </c>
      <c r="Y14" s="25"/>
      <c r="Z14" s="25"/>
      <c r="AA14" s="25"/>
      <c r="AB14" s="25"/>
      <c r="AC14" s="25" t="str">
        <f>TRIM(StudentScore[[#This Row],[Student Email]])</f>
        <v>varisara.jan@student.mahidol.ac.th</v>
      </c>
    </row>
    <row r="15" spans="1:29" ht="27">
      <c r="A15" s="15">
        <v>9</v>
      </c>
      <c r="B15" s="16">
        <f t="shared" si="2"/>
        <v>61</v>
      </c>
      <c r="C15" s="27">
        <f t="shared" si="3"/>
        <v>2021</v>
      </c>
      <c r="D15" s="54"/>
      <c r="E15" s="17">
        <v>6188006</v>
      </c>
      <c r="F15" s="14" t="s">
        <v>38</v>
      </c>
      <c r="G15" s="14" t="s">
        <v>136</v>
      </c>
      <c r="H15" s="18" t="s">
        <v>137</v>
      </c>
      <c r="I15" s="25" t="s">
        <v>124</v>
      </c>
      <c r="J15" s="25">
        <v>6.5</v>
      </c>
      <c r="K15" s="25">
        <v>7</v>
      </c>
      <c r="L15" s="25">
        <v>6.5</v>
      </c>
      <c r="M15" s="25">
        <v>5.5</v>
      </c>
      <c r="N15" s="25">
        <v>6</v>
      </c>
      <c r="O15" s="25"/>
      <c r="P15" s="25"/>
      <c r="Q15" s="25"/>
      <c r="R15" s="25"/>
      <c r="S15" s="35">
        <v>42833</v>
      </c>
      <c r="T15" s="51">
        <v>43313</v>
      </c>
      <c r="U15" s="25"/>
      <c r="V15" s="25"/>
      <c r="W15" s="25" t="s">
        <v>138</v>
      </c>
      <c r="X15" s="25" t="s">
        <v>139</v>
      </c>
      <c r="Y15" s="25"/>
      <c r="Z15" s="25"/>
      <c r="AA15" s="25"/>
      <c r="AB15" s="25"/>
      <c r="AC15" s="25" t="str">
        <f>TRIM(StudentScore[[#This Row],[Student Email]])</f>
        <v>jirakorn.jir@student.mahidol.ac.th</v>
      </c>
    </row>
    <row r="16" spans="1:29" ht="27">
      <c r="A16" s="15">
        <v>10</v>
      </c>
      <c r="B16" s="16">
        <f t="shared" si="2"/>
        <v>61</v>
      </c>
      <c r="C16" s="27">
        <f t="shared" si="3"/>
        <v>2021</v>
      </c>
      <c r="D16" s="54"/>
      <c r="E16" s="17">
        <v>6188007</v>
      </c>
      <c r="F16" s="14" t="s">
        <v>38</v>
      </c>
      <c r="G16" s="14" t="s">
        <v>140</v>
      </c>
      <c r="H16" s="18" t="s">
        <v>141</v>
      </c>
      <c r="I16" s="25" t="s">
        <v>48</v>
      </c>
      <c r="J16" s="25">
        <v>790</v>
      </c>
      <c r="K16" s="25">
        <v>425</v>
      </c>
      <c r="L16" s="25">
        <v>365</v>
      </c>
      <c r="M16" s="25"/>
      <c r="N16" s="25"/>
      <c r="O16" s="25"/>
      <c r="P16" s="25"/>
      <c r="Q16" s="25"/>
      <c r="R16" s="25"/>
      <c r="S16" s="35">
        <v>44090</v>
      </c>
      <c r="T16" s="51">
        <v>44105</v>
      </c>
      <c r="U16" s="25"/>
      <c r="V16" s="25"/>
      <c r="W16" s="25" t="s">
        <v>142</v>
      </c>
      <c r="X16" s="25" t="s">
        <v>143</v>
      </c>
      <c r="Y16" s="25"/>
      <c r="Z16" s="25"/>
      <c r="AA16" s="25"/>
      <c r="AB16" s="25"/>
      <c r="AC16" s="25" t="str">
        <f>TRIM(StudentScore[[#This Row],[Student Email]])</f>
        <v>worawit.kae@student.mahidol.ac.th</v>
      </c>
    </row>
    <row r="17" spans="1:29" ht="27">
      <c r="A17" s="15">
        <v>11</v>
      </c>
      <c r="B17" s="16">
        <f t="shared" si="2"/>
        <v>61</v>
      </c>
      <c r="C17" s="27">
        <f t="shared" si="3"/>
        <v>2021</v>
      </c>
      <c r="D17" s="54"/>
      <c r="E17" s="17">
        <v>6188008</v>
      </c>
      <c r="F17" s="14" t="s">
        <v>117</v>
      </c>
      <c r="G17" s="14" t="s">
        <v>144</v>
      </c>
      <c r="H17" s="18" t="s">
        <v>145</v>
      </c>
      <c r="I17" s="25" t="s">
        <v>48</v>
      </c>
      <c r="J17" s="25">
        <v>650</v>
      </c>
      <c r="K17" s="25">
        <v>310</v>
      </c>
      <c r="L17" s="25">
        <v>340</v>
      </c>
      <c r="M17" s="25"/>
      <c r="N17" s="25"/>
      <c r="O17" s="25"/>
      <c r="P17" s="25"/>
      <c r="Q17" s="25"/>
      <c r="R17" s="25"/>
      <c r="S17" s="35">
        <v>43880</v>
      </c>
      <c r="T17" s="51">
        <v>43862</v>
      </c>
      <c r="U17" s="25"/>
      <c r="V17" s="25"/>
      <c r="W17" s="25" t="s">
        <v>146</v>
      </c>
      <c r="X17" s="25" t="s">
        <v>147</v>
      </c>
      <c r="Y17" s="25"/>
      <c r="Z17" s="25"/>
      <c r="AA17" s="25"/>
      <c r="AB17" s="25"/>
      <c r="AC17" s="25" t="str">
        <f>TRIM(StudentScore[[#This Row],[Student Email]])</f>
        <v>natthaporn.kob@student.mahidol.ac.th</v>
      </c>
    </row>
    <row r="18" spans="1:29" ht="27">
      <c r="A18" s="15">
        <v>12</v>
      </c>
      <c r="B18" s="16">
        <f t="shared" si="2"/>
        <v>61</v>
      </c>
      <c r="C18" s="27">
        <f t="shared" si="3"/>
        <v>2021</v>
      </c>
      <c r="D18" s="54"/>
      <c r="E18" s="17">
        <v>6188009</v>
      </c>
      <c r="F18" s="14" t="s">
        <v>38</v>
      </c>
      <c r="G18" s="14" t="s">
        <v>148</v>
      </c>
      <c r="H18" s="18" t="s">
        <v>149</v>
      </c>
      <c r="I18" s="25" t="s">
        <v>48</v>
      </c>
      <c r="J18" s="25">
        <v>865</v>
      </c>
      <c r="K18" s="25">
        <v>455</v>
      </c>
      <c r="L18" s="25">
        <v>410</v>
      </c>
      <c r="M18" s="25"/>
      <c r="N18" s="25"/>
      <c r="O18" s="25"/>
      <c r="P18" s="25"/>
      <c r="Q18" s="25"/>
      <c r="R18" s="25"/>
      <c r="S18" s="35">
        <v>44153</v>
      </c>
      <c r="T18" s="51">
        <v>44136</v>
      </c>
      <c r="U18" s="25"/>
      <c r="V18" s="25"/>
      <c r="W18" s="25" t="s">
        <v>150</v>
      </c>
      <c r="X18" s="25" t="s">
        <v>151</v>
      </c>
      <c r="Y18" s="25"/>
      <c r="Z18" s="25"/>
      <c r="AA18" s="25"/>
      <c r="AB18" s="25"/>
      <c r="AC18" s="25" t="str">
        <f>TRIM(StudentScore[[#This Row],[Student Email]])</f>
        <v>phumrapee.lim@student.mahidol.ac.th</v>
      </c>
    </row>
    <row r="19" spans="1:29" ht="27">
      <c r="A19" s="15">
        <v>13</v>
      </c>
      <c r="B19" s="16">
        <f t="shared" si="2"/>
        <v>61</v>
      </c>
      <c r="C19" s="27">
        <f t="shared" si="3"/>
        <v>2021</v>
      </c>
      <c r="D19" s="54"/>
      <c r="E19" s="17">
        <v>6188010</v>
      </c>
      <c r="F19" s="14" t="s">
        <v>117</v>
      </c>
      <c r="G19" s="14" t="s">
        <v>152</v>
      </c>
      <c r="H19" s="18" t="s">
        <v>153</v>
      </c>
      <c r="I19" s="25" t="s">
        <v>124</v>
      </c>
      <c r="J19" s="25">
        <v>7</v>
      </c>
      <c r="K19" s="25">
        <v>8</v>
      </c>
      <c r="L19" s="25">
        <v>7.5</v>
      </c>
      <c r="M19" s="25">
        <v>6</v>
      </c>
      <c r="N19" s="25">
        <v>6</v>
      </c>
      <c r="O19" s="25"/>
      <c r="P19" s="25"/>
      <c r="Q19" s="25"/>
      <c r="R19" s="25"/>
      <c r="S19" s="35">
        <v>42959</v>
      </c>
      <c r="T19" s="51">
        <v>43313</v>
      </c>
      <c r="U19" s="25"/>
      <c r="V19" s="25"/>
      <c r="W19" s="25" t="s">
        <v>154</v>
      </c>
      <c r="X19" s="25" t="s">
        <v>155</v>
      </c>
      <c r="Y19" s="25"/>
      <c r="Z19" s="25"/>
      <c r="AA19" s="25"/>
      <c r="AB19" s="25"/>
      <c r="AC19" s="25" t="str">
        <f>TRIM(StudentScore[[#This Row],[Student Email]])</f>
        <v>chansida.mak@student.mahidol.ac.th</v>
      </c>
    </row>
    <row r="20" spans="1:29" ht="27">
      <c r="A20" s="15">
        <v>14</v>
      </c>
      <c r="B20" s="16">
        <f t="shared" si="2"/>
        <v>61</v>
      </c>
      <c r="C20" s="27">
        <f t="shared" si="3"/>
        <v>2021</v>
      </c>
      <c r="D20" s="54"/>
      <c r="E20" s="17">
        <v>6188011</v>
      </c>
      <c r="F20" s="14" t="s">
        <v>117</v>
      </c>
      <c r="G20" s="14" t="s">
        <v>156</v>
      </c>
      <c r="H20" s="18" t="s">
        <v>157</v>
      </c>
      <c r="I20" s="25" t="s">
        <v>124</v>
      </c>
      <c r="J20" s="25">
        <v>6.5</v>
      </c>
      <c r="K20" s="25">
        <v>6.5</v>
      </c>
      <c r="L20" s="25">
        <v>5</v>
      </c>
      <c r="M20" s="25">
        <v>6</v>
      </c>
      <c r="N20" s="25">
        <v>8</v>
      </c>
      <c r="O20" s="25"/>
      <c r="P20" s="25"/>
      <c r="Q20" s="25"/>
      <c r="R20" s="25"/>
      <c r="S20" s="35">
        <v>42987</v>
      </c>
      <c r="T20" s="51">
        <v>43313</v>
      </c>
      <c r="U20" s="25"/>
      <c r="V20" s="25"/>
      <c r="W20" s="25" t="s">
        <v>158</v>
      </c>
      <c r="X20" s="25" t="s">
        <v>159</v>
      </c>
      <c r="Y20" s="25"/>
      <c r="Z20" s="25"/>
      <c r="AA20" s="25"/>
      <c r="AB20" s="25"/>
      <c r="AC20" s="25" t="str">
        <f>TRIM(StudentScore[[#This Row],[Student Email]])</f>
        <v>osh.nar@student.mahidol.ac.th</v>
      </c>
    </row>
    <row r="21" spans="1:29" ht="27">
      <c r="A21" s="15">
        <v>15</v>
      </c>
      <c r="B21" s="16">
        <f t="shared" si="2"/>
        <v>61</v>
      </c>
      <c r="C21" s="27">
        <f t="shared" si="3"/>
        <v>2021</v>
      </c>
      <c r="D21" s="54"/>
      <c r="E21" s="17">
        <v>6188012</v>
      </c>
      <c r="F21" s="14" t="s">
        <v>38</v>
      </c>
      <c r="G21" s="14" t="s">
        <v>160</v>
      </c>
      <c r="H21" s="18" t="s">
        <v>161</v>
      </c>
      <c r="I21" s="25" t="s">
        <v>48</v>
      </c>
      <c r="J21" s="25">
        <v>650</v>
      </c>
      <c r="K21" s="25">
        <v>410</v>
      </c>
      <c r="L21" s="25">
        <v>240</v>
      </c>
      <c r="M21" s="25"/>
      <c r="N21" s="25"/>
      <c r="O21" s="25"/>
      <c r="P21" s="25"/>
      <c r="Q21" s="25"/>
      <c r="R21" s="25"/>
      <c r="S21" s="35">
        <v>43903</v>
      </c>
      <c r="T21" s="51">
        <v>44044</v>
      </c>
      <c r="U21" s="25"/>
      <c r="V21" s="25"/>
      <c r="W21" s="25" t="s">
        <v>162</v>
      </c>
      <c r="X21" s="25" t="s">
        <v>163</v>
      </c>
      <c r="Y21" s="25"/>
      <c r="Z21" s="25"/>
      <c r="AA21" s="25"/>
      <c r="AB21" s="25"/>
      <c r="AC21" s="25" t="str">
        <f>TRIM(StudentScore[[#This Row],[Student Email]])</f>
        <v>suttipat.bur@student.mahidol.ac.th</v>
      </c>
    </row>
    <row r="22" spans="1:29" ht="27">
      <c r="A22" s="15">
        <v>16</v>
      </c>
      <c r="B22" s="16">
        <f t="shared" si="2"/>
        <v>61</v>
      </c>
      <c r="C22" s="27">
        <f t="shared" si="3"/>
        <v>2021</v>
      </c>
      <c r="D22" s="54"/>
      <c r="E22" s="17">
        <v>6188013</v>
      </c>
      <c r="F22" s="14" t="s">
        <v>38</v>
      </c>
      <c r="G22" s="14" t="s">
        <v>164</v>
      </c>
      <c r="H22" s="18" t="s">
        <v>165</v>
      </c>
      <c r="I22" s="25" t="s">
        <v>48</v>
      </c>
      <c r="J22" s="25">
        <v>850</v>
      </c>
      <c r="K22" s="25">
        <v>435</v>
      </c>
      <c r="L22" s="25">
        <v>415</v>
      </c>
      <c r="M22" s="25"/>
      <c r="N22" s="25"/>
      <c r="O22" s="25"/>
      <c r="P22" s="25"/>
      <c r="Q22" s="25"/>
      <c r="R22" s="25"/>
      <c r="S22" s="35">
        <v>43880</v>
      </c>
      <c r="T22" s="51">
        <v>43862</v>
      </c>
      <c r="U22" s="25"/>
      <c r="V22" s="25"/>
      <c r="W22" s="25" t="s">
        <v>166</v>
      </c>
      <c r="X22" s="25" t="s">
        <v>167</v>
      </c>
      <c r="Y22" s="25"/>
      <c r="Z22" s="25"/>
      <c r="AA22" s="25"/>
      <c r="AB22" s="25"/>
      <c r="AC22" s="25" t="str">
        <f>TRIM(StudentScore[[#This Row],[Student Email]])</f>
        <v>anakin.pat@student.mahidol.ac.th</v>
      </c>
    </row>
    <row r="23" spans="1:29" ht="27">
      <c r="A23" s="15">
        <v>17</v>
      </c>
      <c r="B23" s="16">
        <f t="shared" si="2"/>
        <v>61</v>
      </c>
      <c r="C23" s="27">
        <f t="shared" si="3"/>
        <v>2021</v>
      </c>
      <c r="D23" s="54"/>
      <c r="E23" s="17">
        <v>6188014</v>
      </c>
      <c r="F23" s="14" t="s">
        <v>38</v>
      </c>
      <c r="G23" s="14" t="s">
        <v>168</v>
      </c>
      <c r="H23" s="18" t="s">
        <v>169</v>
      </c>
      <c r="I23" s="25" t="s">
        <v>48</v>
      </c>
      <c r="J23" s="25">
        <v>820</v>
      </c>
      <c r="K23" s="25">
        <v>470</v>
      </c>
      <c r="L23" s="25">
        <v>350</v>
      </c>
      <c r="M23" s="25"/>
      <c r="N23" s="25"/>
      <c r="O23" s="25"/>
      <c r="P23" s="25"/>
      <c r="Q23" s="25"/>
      <c r="R23" s="25"/>
      <c r="S23" s="35">
        <v>43880</v>
      </c>
      <c r="T23" s="51">
        <v>43862</v>
      </c>
      <c r="U23" s="25"/>
      <c r="V23" s="25"/>
      <c r="W23" s="25" t="s">
        <v>170</v>
      </c>
      <c r="X23" s="25" t="s">
        <v>171</v>
      </c>
      <c r="Y23" s="25"/>
      <c r="Z23" s="25"/>
      <c r="AA23" s="25"/>
      <c r="AB23" s="25"/>
      <c r="AC23" s="25" t="str">
        <f>TRIM(StudentScore[[#This Row],[Student Email]])</f>
        <v>suttichok.cho@student.mahidol.ac.th</v>
      </c>
    </row>
    <row r="24" spans="1:29" ht="27">
      <c r="A24" s="15">
        <v>18</v>
      </c>
      <c r="B24" s="16">
        <f t="shared" si="2"/>
        <v>61</v>
      </c>
      <c r="C24" s="27">
        <f t="shared" si="3"/>
        <v>2021</v>
      </c>
      <c r="D24" s="54"/>
      <c r="E24" s="17">
        <v>6188015</v>
      </c>
      <c r="F24" s="14" t="s">
        <v>38</v>
      </c>
      <c r="G24" s="14" t="s">
        <v>172</v>
      </c>
      <c r="H24" s="18" t="s">
        <v>173</v>
      </c>
      <c r="I24" s="25" t="s">
        <v>48</v>
      </c>
      <c r="J24" s="25">
        <v>800</v>
      </c>
      <c r="K24" s="25">
        <v>380</v>
      </c>
      <c r="L24" s="25">
        <v>420</v>
      </c>
      <c r="M24" s="25"/>
      <c r="N24" s="25"/>
      <c r="O24" s="25"/>
      <c r="P24" s="25"/>
      <c r="Q24" s="25"/>
      <c r="R24" s="25"/>
      <c r="S24" s="35">
        <v>43880</v>
      </c>
      <c r="T24" s="51">
        <v>43862</v>
      </c>
      <c r="U24" s="25"/>
      <c r="V24" s="25"/>
      <c r="W24" s="25" t="s">
        <v>174</v>
      </c>
      <c r="X24" s="25" t="s">
        <v>175</v>
      </c>
      <c r="Y24" s="25"/>
      <c r="Z24" s="25"/>
      <c r="AA24" s="25"/>
      <c r="AB24" s="25"/>
      <c r="AC24" s="25" t="str">
        <f>TRIM(StudentScore[[#This Row],[Student Email]])</f>
        <v>weerapat.pip@student.mahidol.ac.th</v>
      </c>
    </row>
    <row r="25" spans="1:29" ht="27">
      <c r="A25" s="15">
        <v>19</v>
      </c>
      <c r="B25" s="16">
        <f t="shared" si="2"/>
        <v>61</v>
      </c>
      <c r="C25" s="27">
        <f t="shared" si="3"/>
        <v>2021</v>
      </c>
      <c r="D25" s="54"/>
      <c r="E25" s="17">
        <v>6188016</v>
      </c>
      <c r="F25" s="14" t="s">
        <v>117</v>
      </c>
      <c r="G25" s="14" t="s">
        <v>176</v>
      </c>
      <c r="H25" s="18" t="s">
        <v>177</v>
      </c>
      <c r="I25" s="25" t="s">
        <v>48</v>
      </c>
      <c r="J25" s="25">
        <v>715</v>
      </c>
      <c r="K25" s="25">
        <v>350</v>
      </c>
      <c r="L25" s="25">
        <v>365</v>
      </c>
      <c r="M25" s="25"/>
      <c r="N25" s="25"/>
      <c r="O25" s="25"/>
      <c r="P25" s="25"/>
      <c r="Q25" s="25"/>
      <c r="R25" s="25"/>
      <c r="S25" s="35">
        <v>43880</v>
      </c>
      <c r="T25" s="51">
        <v>43862</v>
      </c>
      <c r="U25" s="25"/>
      <c r="V25" s="25"/>
      <c r="W25" s="25" t="s">
        <v>178</v>
      </c>
      <c r="X25" s="25" t="s">
        <v>179</v>
      </c>
      <c r="Y25" s="25"/>
      <c r="Z25" s="25"/>
      <c r="AA25" s="25"/>
      <c r="AB25" s="25"/>
      <c r="AC25" s="25" t="str">
        <f>TRIM(StudentScore[[#This Row],[Student Email]])</f>
        <v>thanaporn.pln@student.mahidol.ac.th</v>
      </c>
    </row>
    <row r="26" spans="1:29" ht="27">
      <c r="A26" s="15">
        <v>20</v>
      </c>
      <c r="B26" s="16">
        <f t="shared" si="2"/>
        <v>61</v>
      </c>
      <c r="C26" s="27">
        <f t="shared" si="3"/>
        <v>2021</v>
      </c>
      <c r="D26" s="54"/>
      <c r="E26" s="17">
        <v>6188018</v>
      </c>
      <c r="F26" s="14" t="s">
        <v>38</v>
      </c>
      <c r="G26" s="14" t="s">
        <v>180</v>
      </c>
      <c r="H26" s="18" t="s">
        <v>181</v>
      </c>
      <c r="I26" s="25" t="s">
        <v>124</v>
      </c>
      <c r="J26" s="25">
        <v>6</v>
      </c>
      <c r="K26" s="25">
        <v>6</v>
      </c>
      <c r="L26" s="25">
        <v>6.5</v>
      </c>
      <c r="M26" s="25">
        <v>5.5</v>
      </c>
      <c r="N26" s="25">
        <v>5.5</v>
      </c>
      <c r="O26" s="25"/>
      <c r="P26" s="25"/>
      <c r="Q26" s="25"/>
      <c r="R26" s="25"/>
      <c r="S26" s="35">
        <v>42973</v>
      </c>
      <c r="T26" s="51">
        <v>43313</v>
      </c>
      <c r="U26" s="25"/>
      <c r="V26" s="25"/>
      <c r="W26" s="25" t="s">
        <v>182</v>
      </c>
      <c r="X26" s="25" t="s">
        <v>183</v>
      </c>
      <c r="Y26" s="25"/>
      <c r="Z26" s="25"/>
      <c r="AA26" s="25"/>
      <c r="AB26" s="25"/>
      <c r="AC26" s="25" t="str">
        <f>TRIM(StudentScore[[#This Row],[Student Email]])</f>
        <v>pattarakrit.rat@student.mahidol.ac.th</v>
      </c>
    </row>
    <row r="27" spans="1:29" ht="27">
      <c r="A27" s="15">
        <v>21</v>
      </c>
      <c r="B27" s="16">
        <f t="shared" si="2"/>
        <v>61</v>
      </c>
      <c r="C27" s="27">
        <f t="shared" si="3"/>
        <v>2021</v>
      </c>
      <c r="D27" s="54"/>
      <c r="E27" s="17">
        <v>6188019</v>
      </c>
      <c r="F27" s="14" t="s">
        <v>38</v>
      </c>
      <c r="G27" s="14" t="s">
        <v>184</v>
      </c>
      <c r="H27" s="18" t="s">
        <v>185</v>
      </c>
      <c r="I27" s="25" t="s">
        <v>102</v>
      </c>
      <c r="J27" s="25">
        <v>88</v>
      </c>
      <c r="K27" s="25"/>
      <c r="L27" s="25"/>
      <c r="M27" s="25"/>
      <c r="N27" s="25"/>
      <c r="O27" s="25"/>
      <c r="P27" s="25"/>
      <c r="Q27" s="25"/>
      <c r="R27" s="25"/>
      <c r="S27" s="25"/>
      <c r="T27" s="51">
        <v>44348</v>
      </c>
      <c r="U27" s="25"/>
      <c r="V27" s="25"/>
      <c r="W27" s="25" t="s">
        <v>186</v>
      </c>
      <c r="X27" s="25" t="s">
        <v>187</v>
      </c>
      <c r="Y27" s="25"/>
      <c r="Z27" s="25"/>
      <c r="AA27" s="25"/>
      <c r="AB27" s="25"/>
      <c r="AC27" s="25" t="str">
        <f>TRIM(StudentScore[[#This Row],[Student Email]])</f>
        <v>thanawat.ria@student.mahidol.ac.th</v>
      </c>
    </row>
    <row r="28" spans="1:29" ht="27">
      <c r="A28" s="15">
        <v>22</v>
      </c>
      <c r="B28" s="16">
        <f t="shared" si="2"/>
        <v>61</v>
      </c>
      <c r="C28" s="27">
        <f t="shared" si="3"/>
        <v>2021</v>
      </c>
      <c r="D28" s="54"/>
      <c r="E28" s="17">
        <v>6188020</v>
      </c>
      <c r="F28" s="14" t="s">
        <v>38</v>
      </c>
      <c r="G28" s="14" t="s">
        <v>188</v>
      </c>
      <c r="H28" s="18" t="s">
        <v>189</v>
      </c>
      <c r="I28" s="25" t="s">
        <v>102</v>
      </c>
      <c r="J28" s="25">
        <v>85</v>
      </c>
      <c r="K28" s="25"/>
      <c r="L28" s="25"/>
      <c r="M28" s="25"/>
      <c r="N28" s="25"/>
      <c r="O28" s="25"/>
      <c r="P28" s="25"/>
      <c r="Q28" s="25"/>
      <c r="R28" s="25"/>
      <c r="S28" s="25"/>
      <c r="T28" s="51">
        <v>44682</v>
      </c>
      <c r="U28" s="25"/>
      <c r="V28" s="25"/>
      <c r="W28" s="25" t="s">
        <v>190</v>
      </c>
      <c r="X28" s="25" t="s">
        <v>191</v>
      </c>
      <c r="Y28" s="25"/>
      <c r="Z28" s="25"/>
      <c r="AA28" s="25"/>
      <c r="AB28" s="25"/>
      <c r="AC28" s="25" t="str">
        <f>TRIM(StudentScore[[#This Row],[Student Email]])</f>
        <v>chanathip.sir@student.mahidol.ac.th</v>
      </c>
    </row>
    <row r="29" spans="1:29" ht="27">
      <c r="A29" s="15">
        <v>23</v>
      </c>
      <c r="B29" s="16">
        <f t="shared" si="2"/>
        <v>61</v>
      </c>
      <c r="C29" s="27">
        <f t="shared" si="3"/>
        <v>2021</v>
      </c>
      <c r="D29" s="54"/>
      <c r="E29" s="17">
        <v>6188021</v>
      </c>
      <c r="F29" s="14" t="s">
        <v>38</v>
      </c>
      <c r="G29" s="14" t="s">
        <v>192</v>
      </c>
      <c r="H29" s="18" t="s">
        <v>193</v>
      </c>
      <c r="I29" s="25" t="s">
        <v>102</v>
      </c>
      <c r="J29" s="25">
        <v>77</v>
      </c>
      <c r="K29" s="25"/>
      <c r="L29" s="25"/>
      <c r="M29" s="25"/>
      <c r="N29" s="25"/>
      <c r="O29" s="25"/>
      <c r="P29" s="25"/>
      <c r="Q29" s="25"/>
      <c r="R29" s="25"/>
      <c r="S29" s="25"/>
      <c r="T29" s="58">
        <v>44531</v>
      </c>
      <c r="U29" s="25"/>
      <c r="V29" s="25"/>
      <c r="W29" s="25" t="s">
        <v>194</v>
      </c>
      <c r="X29" s="25" t="s">
        <v>195</v>
      </c>
      <c r="Y29" s="25"/>
      <c r="Z29" s="25"/>
      <c r="AA29" s="25"/>
      <c r="AB29" s="25"/>
      <c r="AC29" s="25" t="str">
        <f>TRIM(StudentScore[[#This Row],[Student Email]])</f>
        <v>ruksat.sol@student.mahidol.ac.th</v>
      </c>
    </row>
    <row r="30" spans="1:29" ht="27">
      <c r="A30" s="15">
        <v>24</v>
      </c>
      <c r="B30" s="16">
        <f t="shared" si="2"/>
        <v>61</v>
      </c>
      <c r="C30" s="27">
        <f t="shared" si="3"/>
        <v>2021</v>
      </c>
      <c r="D30" s="54"/>
      <c r="E30" s="17">
        <v>6188022</v>
      </c>
      <c r="F30" s="14" t="s">
        <v>38</v>
      </c>
      <c r="G30" s="14" t="s">
        <v>196</v>
      </c>
      <c r="H30" s="18" t="s">
        <v>197</v>
      </c>
      <c r="I30" s="25" t="s">
        <v>102</v>
      </c>
      <c r="J30" s="25">
        <v>76</v>
      </c>
      <c r="K30" s="25"/>
      <c r="L30" s="25"/>
      <c r="M30" s="25"/>
      <c r="N30" s="25"/>
      <c r="O30" s="25"/>
      <c r="P30" s="25"/>
      <c r="Q30" s="25"/>
      <c r="R30" s="25"/>
      <c r="S30" s="25"/>
      <c r="T30" s="51">
        <v>44348</v>
      </c>
      <c r="U30" s="25"/>
      <c r="V30" s="25"/>
      <c r="W30" s="25" t="s">
        <v>198</v>
      </c>
      <c r="X30" s="25" t="s">
        <v>199</v>
      </c>
      <c r="Y30" s="25"/>
      <c r="Z30" s="25"/>
      <c r="AA30" s="25"/>
      <c r="AB30" s="25"/>
      <c r="AC30" s="25" t="str">
        <f>TRIM(StudentScore[[#This Row],[Student Email]])</f>
        <v>weeraphat.sri@student.mahidol.ac.th</v>
      </c>
    </row>
    <row r="31" spans="1:29" ht="27">
      <c r="A31" s="15">
        <v>25</v>
      </c>
      <c r="B31" s="16">
        <f t="shared" si="2"/>
        <v>61</v>
      </c>
      <c r="C31" s="27">
        <f t="shared" si="3"/>
        <v>2021</v>
      </c>
      <c r="D31" s="54"/>
      <c r="E31" s="17">
        <v>6188023</v>
      </c>
      <c r="F31" s="14" t="s">
        <v>117</v>
      </c>
      <c r="G31" s="14" t="s">
        <v>200</v>
      </c>
      <c r="H31" s="18" t="s">
        <v>201</v>
      </c>
      <c r="I31" s="25" t="s">
        <v>48</v>
      </c>
      <c r="J31" s="25">
        <v>620</v>
      </c>
      <c r="K31" s="25">
        <v>330</v>
      </c>
      <c r="L31" s="25">
        <v>290</v>
      </c>
      <c r="M31" s="25"/>
      <c r="N31" s="25"/>
      <c r="O31" s="25"/>
      <c r="P31" s="25"/>
      <c r="Q31" s="25"/>
      <c r="R31" s="25"/>
      <c r="S31" s="35">
        <v>44090</v>
      </c>
      <c r="T31" s="51">
        <v>44075</v>
      </c>
      <c r="U31" s="25"/>
      <c r="V31" s="25"/>
      <c r="W31" s="25" t="s">
        <v>202</v>
      </c>
      <c r="X31" s="25" t="s">
        <v>203</v>
      </c>
      <c r="Y31" s="25"/>
      <c r="Z31" s="25"/>
      <c r="AA31" s="25"/>
      <c r="AB31" s="25"/>
      <c r="AC31" s="25" t="str">
        <f>TRIM(StudentScore[[#This Row],[Student Email]])</f>
        <v>praewnapa.suk@student.mahidol.ac.th</v>
      </c>
    </row>
    <row r="32" spans="1:29" ht="27">
      <c r="A32" s="15">
        <v>26</v>
      </c>
      <c r="B32" s="16">
        <f t="shared" si="2"/>
        <v>61</v>
      </c>
      <c r="C32" s="27">
        <f t="shared" si="3"/>
        <v>2021</v>
      </c>
      <c r="D32" s="54"/>
      <c r="E32" s="17">
        <v>6188024</v>
      </c>
      <c r="F32" s="14" t="s">
        <v>117</v>
      </c>
      <c r="G32" s="14" t="s">
        <v>204</v>
      </c>
      <c r="H32" s="18" t="s">
        <v>205</v>
      </c>
      <c r="I32" s="25" t="s">
        <v>102</v>
      </c>
      <c r="J32" s="25">
        <v>77</v>
      </c>
      <c r="K32" s="25"/>
      <c r="L32" s="25"/>
      <c r="M32" s="25"/>
      <c r="N32" s="25"/>
      <c r="O32" s="25"/>
      <c r="P32" s="25"/>
      <c r="Q32" s="25"/>
      <c r="R32" s="25"/>
      <c r="S32" s="25"/>
      <c r="T32" s="51">
        <v>44531</v>
      </c>
      <c r="U32" s="25"/>
      <c r="V32" s="25"/>
      <c r="W32" s="25" t="s">
        <v>206</v>
      </c>
      <c r="X32" s="25" t="s">
        <v>207</v>
      </c>
      <c r="Y32" s="25"/>
      <c r="Z32" s="25"/>
      <c r="AA32" s="25"/>
      <c r="AB32" s="25"/>
      <c r="AC32" s="25" t="str">
        <f>TRIM(StudentScore[[#This Row],[Student Email]])</f>
        <v>sumuna.tha@student.mahidol.ac.th</v>
      </c>
    </row>
    <row r="33" spans="1:29" ht="27">
      <c r="A33" s="15">
        <v>27</v>
      </c>
      <c r="B33" s="16">
        <f t="shared" si="2"/>
        <v>61</v>
      </c>
      <c r="C33" s="27">
        <f t="shared" si="3"/>
        <v>2021</v>
      </c>
      <c r="D33" s="54"/>
      <c r="E33" s="17">
        <v>6188025</v>
      </c>
      <c r="F33" s="14" t="s">
        <v>117</v>
      </c>
      <c r="G33" s="14" t="s">
        <v>208</v>
      </c>
      <c r="H33" s="18" t="s">
        <v>209</v>
      </c>
      <c r="I33" s="25" t="s">
        <v>48</v>
      </c>
      <c r="J33" s="25">
        <v>655</v>
      </c>
      <c r="K33" s="25">
        <v>345</v>
      </c>
      <c r="L33" s="25">
        <v>310</v>
      </c>
      <c r="M33" s="25"/>
      <c r="N33" s="25"/>
      <c r="O33" s="25"/>
      <c r="P33" s="25"/>
      <c r="Q33" s="25"/>
      <c r="R33" s="25"/>
      <c r="S33" s="35">
        <v>43334</v>
      </c>
      <c r="T33" s="51">
        <v>43374</v>
      </c>
      <c r="U33" s="25"/>
      <c r="V33" s="25"/>
      <c r="W33" s="25" t="s">
        <v>210</v>
      </c>
      <c r="X33" s="25" t="s">
        <v>211</v>
      </c>
      <c r="Y33" s="25"/>
      <c r="Z33" s="25"/>
      <c r="AA33" s="25"/>
      <c r="AB33" s="25"/>
      <c r="AC33" s="25" t="str">
        <f>TRIM(StudentScore[[#This Row],[Student Email]])</f>
        <v>alisa.uth@student.mahidol.ac.th</v>
      </c>
    </row>
    <row r="34" spans="1:29" ht="27">
      <c r="A34" s="15">
        <v>28</v>
      </c>
      <c r="B34" s="16">
        <f t="shared" si="2"/>
        <v>61</v>
      </c>
      <c r="C34" s="27">
        <f t="shared" si="3"/>
        <v>2021</v>
      </c>
      <c r="D34" s="54"/>
      <c r="E34" s="17">
        <v>6188026</v>
      </c>
      <c r="F34" s="14" t="s">
        <v>38</v>
      </c>
      <c r="G34" s="14" t="s">
        <v>212</v>
      </c>
      <c r="H34" s="18" t="s">
        <v>213</v>
      </c>
      <c r="I34" s="25" t="s">
        <v>214</v>
      </c>
      <c r="J34" s="25">
        <v>120</v>
      </c>
      <c r="K34" s="25"/>
      <c r="L34" s="25"/>
      <c r="M34" s="25"/>
      <c r="N34" s="25"/>
      <c r="O34" s="25">
        <v>120</v>
      </c>
      <c r="P34" s="25">
        <v>95</v>
      </c>
      <c r="Q34" s="25">
        <v>135</v>
      </c>
      <c r="R34" s="25">
        <v>75</v>
      </c>
      <c r="S34" s="26">
        <v>44680</v>
      </c>
      <c r="T34" s="35">
        <v>44683</v>
      </c>
      <c r="U34" s="25"/>
      <c r="V34" s="25"/>
      <c r="W34" s="25" t="s">
        <v>215</v>
      </c>
      <c r="X34" s="25" t="s">
        <v>216</v>
      </c>
      <c r="Y34" s="42">
        <v>44683.890092592592</v>
      </c>
      <c r="Z34" s="25" t="s">
        <v>217</v>
      </c>
      <c r="AA34" s="25"/>
      <c r="AB34" s="25"/>
      <c r="AC34" s="25" t="str">
        <f>TRIM(StudentScore[[#This Row],[Student Email]])</f>
        <v>pumipat.wat@student.mahidol.ac.th</v>
      </c>
    </row>
    <row r="35" spans="1:29" ht="27">
      <c r="A35" s="15">
        <v>29</v>
      </c>
      <c r="B35" s="16">
        <f t="shared" si="2"/>
        <v>61</v>
      </c>
      <c r="C35" s="27">
        <f t="shared" si="3"/>
        <v>2021</v>
      </c>
      <c r="D35" s="54"/>
      <c r="E35" s="17">
        <v>6188027</v>
      </c>
      <c r="F35" s="14" t="s">
        <v>117</v>
      </c>
      <c r="G35" s="14" t="s">
        <v>218</v>
      </c>
      <c r="H35" s="18" t="s">
        <v>219</v>
      </c>
      <c r="I35" s="25" t="s">
        <v>48</v>
      </c>
      <c r="J35" s="25">
        <v>820</v>
      </c>
      <c r="K35" s="25">
        <v>420</v>
      </c>
      <c r="L35" s="25">
        <v>400</v>
      </c>
      <c r="M35" s="25"/>
      <c r="N35" s="25"/>
      <c r="O35" s="25"/>
      <c r="P35" s="25"/>
      <c r="Q35" s="25"/>
      <c r="R35" s="25"/>
      <c r="S35" s="35">
        <v>43880</v>
      </c>
      <c r="T35" s="51">
        <v>43862</v>
      </c>
      <c r="U35" s="25"/>
      <c r="V35" s="25"/>
      <c r="W35" s="25" t="s">
        <v>220</v>
      </c>
      <c r="X35" s="25" t="s">
        <v>221</v>
      </c>
      <c r="Y35" s="25"/>
      <c r="Z35" s="25"/>
      <c r="AA35" s="25"/>
      <c r="AB35" s="25"/>
      <c r="AC35" s="25" t="str">
        <f>TRIM(StudentScore[[#This Row],[Student Email]])</f>
        <v>supakan.yod@student.mahidol.ac.th</v>
      </c>
    </row>
    <row r="36" spans="1:29" ht="27">
      <c r="A36" s="15">
        <v>30</v>
      </c>
      <c r="B36" s="16">
        <f t="shared" si="2"/>
        <v>61</v>
      </c>
      <c r="C36" s="27">
        <f t="shared" si="3"/>
        <v>2021</v>
      </c>
      <c r="D36" s="54"/>
      <c r="E36" s="17">
        <v>6188028</v>
      </c>
      <c r="F36" s="14" t="s">
        <v>38</v>
      </c>
      <c r="G36" s="14" t="s">
        <v>222</v>
      </c>
      <c r="H36" s="18" t="s">
        <v>223</v>
      </c>
      <c r="I36" s="25" t="s">
        <v>102</v>
      </c>
      <c r="J36" s="25">
        <v>85</v>
      </c>
      <c r="K36" s="25"/>
      <c r="L36" s="25"/>
      <c r="M36" s="25"/>
      <c r="N36" s="25"/>
      <c r="O36" s="25"/>
      <c r="P36" s="25"/>
      <c r="Q36" s="25"/>
      <c r="R36" s="25"/>
      <c r="S36" s="25"/>
      <c r="T36" s="51">
        <v>44531</v>
      </c>
      <c r="U36" s="25"/>
      <c r="V36" s="25"/>
      <c r="W36" s="25" t="s">
        <v>224</v>
      </c>
      <c r="X36" s="25" t="s">
        <v>225</v>
      </c>
      <c r="Y36" s="25"/>
      <c r="Z36" s="25"/>
      <c r="AA36" s="25"/>
      <c r="AB36" s="25"/>
      <c r="AC36" s="25" t="str">
        <f>TRIM(StudentScore[[#This Row],[Student Email]])</f>
        <v>natakorn.hon@student.mahidol.ac.th</v>
      </c>
    </row>
    <row r="37" spans="1:29" ht="27">
      <c r="A37" s="15">
        <v>31</v>
      </c>
      <c r="B37" s="16">
        <f t="shared" si="2"/>
        <v>61</v>
      </c>
      <c r="C37" s="27">
        <f t="shared" si="3"/>
        <v>2021</v>
      </c>
      <c r="D37" s="54"/>
      <c r="E37" s="17">
        <v>6188029</v>
      </c>
      <c r="F37" s="14" t="s">
        <v>38</v>
      </c>
      <c r="G37" s="14" t="s">
        <v>226</v>
      </c>
      <c r="H37" s="18" t="s">
        <v>227</v>
      </c>
      <c r="I37" s="25" t="s">
        <v>102</v>
      </c>
      <c r="J37" s="25">
        <v>81</v>
      </c>
      <c r="K37" s="25"/>
      <c r="L37" s="25"/>
      <c r="M37" s="25"/>
      <c r="N37" s="25"/>
      <c r="O37" s="25"/>
      <c r="P37" s="25"/>
      <c r="Q37" s="25"/>
      <c r="R37" s="25"/>
      <c r="S37" s="25"/>
      <c r="T37" s="51">
        <v>44348</v>
      </c>
      <c r="U37" s="25"/>
      <c r="V37" s="25"/>
      <c r="W37" s="25" t="s">
        <v>228</v>
      </c>
      <c r="X37" s="25" t="s">
        <v>229</v>
      </c>
      <c r="Y37" s="25"/>
      <c r="Z37" s="25"/>
      <c r="AA37" s="25"/>
      <c r="AB37" s="25"/>
      <c r="AC37" s="25" t="str">
        <f>TRIM(StudentScore[[#This Row],[Student Email]])</f>
        <v>naphat.kha@student.mahidol.ac.th</v>
      </c>
    </row>
    <row r="38" spans="1:29" ht="27">
      <c r="A38" s="15">
        <v>32</v>
      </c>
      <c r="B38" s="16">
        <f t="shared" si="2"/>
        <v>61</v>
      </c>
      <c r="C38" s="27">
        <f t="shared" si="3"/>
        <v>2021</v>
      </c>
      <c r="D38" s="54"/>
      <c r="E38" s="17">
        <v>6188030</v>
      </c>
      <c r="F38" s="14" t="s">
        <v>38</v>
      </c>
      <c r="G38" s="14" t="s">
        <v>230</v>
      </c>
      <c r="H38" s="18" t="s">
        <v>231</v>
      </c>
      <c r="I38" s="25" t="s">
        <v>102</v>
      </c>
      <c r="J38" s="25">
        <v>79</v>
      </c>
      <c r="K38" s="25"/>
      <c r="L38" s="25"/>
      <c r="M38" s="25"/>
      <c r="N38" s="25"/>
      <c r="O38" s="25"/>
      <c r="P38" s="25"/>
      <c r="Q38" s="25"/>
      <c r="R38" s="25"/>
      <c r="S38" s="25"/>
      <c r="T38" s="51">
        <v>44531</v>
      </c>
      <c r="U38" s="25"/>
      <c r="V38" s="25"/>
      <c r="W38" s="25" t="s">
        <v>232</v>
      </c>
      <c r="X38" s="25" t="s">
        <v>233</v>
      </c>
      <c r="Y38" s="25"/>
      <c r="Z38" s="25"/>
      <c r="AA38" s="25"/>
      <c r="AB38" s="25"/>
      <c r="AC38" s="25" t="str">
        <f>TRIM(StudentScore[[#This Row],[Student Email]])</f>
        <v>rattanunt.kum@student.mahidol.ac.th</v>
      </c>
    </row>
    <row r="39" spans="1:29" ht="27">
      <c r="A39" s="15">
        <v>33</v>
      </c>
      <c r="B39" s="16">
        <f t="shared" si="2"/>
        <v>61</v>
      </c>
      <c r="C39" s="27">
        <f t="shared" si="3"/>
        <v>2021</v>
      </c>
      <c r="D39" s="54"/>
      <c r="E39" s="17">
        <v>6188031</v>
      </c>
      <c r="F39" s="14" t="s">
        <v>117</v>
      </c>
      <c r="G39" s="14" t="s">
        <v>234</v>
      </c>
      <c r="H39" s="18" t="s">
        <v>235</v>
      </c>
      <c r="I39" s="25" t="s">
        <v>133</v>
      </c>
      <c r="J39" s="25">
        <v>100</v>
      </c>
      <c r="K39" s="25"/>
      <c r="L39" s="25"/>
      <c r="M39" s="25"/>
      <c r="N39" s="25"/>
      <c r="O39" s="25">
        <v>95</v>
      </c>
      <c r="P39" s="25">
        <v>95</v>
      </c>
      <c r="Q39" s="25">
        <v>105</v>
      </c>
      <c r="R39" s="25">
        <v>85</v>
      </c>
      <c r="S39" s="35">
        <v>44585</v>
      </c>
      <c r="T39" s="35">
        <v>44631</v>
      </c>
      <c r="U39" s="25"/>
      <c r="V39" s="25"/>
      <c r="W39" s="25" t="s">
        <v>236</v>
      </c>
      <c r="X39" s="25" t="s">
        <v>237</v>
      </c>
      <c r="Y39" s="25"/>
      <c r="Z39" s="25"/>
      <c r="AA39" s="25"/>
      <c r="AB39" s="25"/>
      <c r="AC39" s="25" t="str">
        <f>TRIM(StudentScore[[#This Row],[Student Email]])</f>
        <v>thanyarat.kun@student.mahidol.ac.th</v>
      </c>
    </row>
    <row r="40" spans="1:29" ht="27">
      <c r="A40" s="15">
        <v>34</v>
      </c>
      <c r="B40" s="16">
        <f t="shared" ref="B40:B71" si="4">VALUE(LEFT(E40,2))</f>
        <v>61</v>
      </c>
      <c r="C40" s="27">
        <f t="shared" ref="C40:C71" si="5">VALUE("25"&amp;B40)-543+3</f>
        <v>2021</v>
      </c>
      <c r="D40" s="54"/>
      <c r="E40" s="17">
        <v>6188033</v>
      </c>
      <c r="F40" s="14" t="s">
        <v>117</v>
      </c>
      <c r="G40" s="14" t="s">
        <v>238</v>
      </c>
      <c r="H40" s="18" t="s">
        <v>239</v>
      </c>
      <c r="I40" s="25" t="s">
        <v>102</v>
      </c>
      <c r="J40" s="25">
        <v>77</v>
      </c>
      <c r="K40" s="25"/>
      <c r="L40" s="25"/>
      <c r="M40" s="25"/>
      <c r="N40" s="25"/>
      <c r="O40" s="25"/>
      <c r="P40" s="25"/>
      <c r="Q40" s="25"/>
      <c r="R40" s="25"/>
      <c r="S40" s="25"/>
      <c r="T40" s="51">
        <v>44348</v>
      </c>
      <c r="U40" s="25"/>
      <c r="V40" s="25"/>
      <c r="W40" s="25" t="s">
        <v>240</v>
      </c>
      <c r="X40" s="25" t="s">
        <v>241</v>
      </c>
      <c r="Y40" s="25"/>
      <c r="Z40" s="25"/>
      <c r="AA40" s="25"/>
      <c r="AB40" s="25"/>
      <c r="AC40" s="25" t="str">
        <f>TRIM(StudentScore[[#This Row],[Student Email]])</f>
        <v>nuttida.nap@student.mahidol.ac.th</v>
      </c>
    </row>
    <row r="41" spans="1:29" ht="27">
      <c r="A41" s="15">
        <v>35</v>
      </c>
      <c r="B41" s="16">
        <f t="shared" si="4"/>
        <v>61</v>
      </c>
      <c r="C41" s="27">
        <f t="shared" si="5"/>
        <v>2021</v>
      </c>
      <c r="D41" s="54"/>
      <c r="E41" s="17">
        <v>6188034</v>
      </c>
      <c r="F41" s="14" t="s">
        <v>38</v>
      </c>
      <c r="G41" s="14" t="s">
        <v>242</v>
      </c>
      <c r="H41" s="18" t="s">
        <v>243</v>
      </c>
      <c r="I41" s="25" t="s">
        <v>244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 t="s">
        <v>245</v>
      </c>
      <c r="X41" s="25" t="s">
        <v>246</v>
      </c>
      <c r="Y41" s="25"/>
      <c r="Z41" s="25"/>
      <c r="AA41" s="25"/>
      <c r="AB41" s="25"/>
      <c r="AC41" s="25" t="str">
        <f>TRIM(StudentScore[[#This Row],[Student Email]])</f>
        <v>supanat.num@student.mahidol.ac.th</v>
      </c>
    </row>
    <row r="42" spans="1:29" ht="27">
      <c r="A42" s="15">
        <v>36</v>
      </c>
      <c r="B42" s="16">
        <f t="shared" si="4"/>
        <v>61</v>
      </c>
      <c r="C42" s="27">
        <f t="shared" si="5"/>
        <v>2021</v>
      </c>
      <c r="D42" s="54"/>
      <c r="E42" s="17">
        <v>6188035</v>
      </c>
      <c r="F42" s="14" t="s">
        <v>38</v>
      </c>
      <c r="G42" s="14" t="s">
        <v>247</v>
      </c>
      <c r="H42" s="18" t="s">
        <v>248</v>
      </c>
      <c r="I42" s="25" t="s">
        <v>48</v>
      </c>
      <c r="J42" s="25">
        <v>820</v>
      </c>
      <c r="K42" s="25">
        <v>425</v>
      </c>
      <c r="L42" s="25">
        <v>395</v>
      </c>
      <c r="M42" s="25"/>
      <c r="N42" s="25"/>
      <c r="O42" s="25"/>
      <c r="P42" s="25"/>
      <c r="Q42" s="25"/>
      <c r="R42" s="25"/>
      <c r="S42" s="35">
        <v>43880</v>
      </c>
      <c r="T42" s="51">
        <v>43862</v>
      </c>
      <c r="U42" s="25"/>
      <c r="V42" s="25"/>
      <c r="W42" s="25" t="s">
        <v>249</v>
      </c>
      <c r="X42" s="25" t="s">
        <v>250</v>
      </c>
      <c r="Y42" s="25"/>
      <c r="Z42" s="25"/>
      <c r="AA42" s="25"/>
      <c r="AB42" s="25"/>
      <c r="AC42" s="25" t="str">
        <f>TRIM(StudentScore[[#This Row],[Student Email]])</f>
        <v>warat.pha@student.mahidol.ac.th</v>
      </c>
    </row>
    <row r="43" spans="1:29" ht="27">
      <c r="A43" s="15">
        <v>37</v>
      </c>
      <c r="B43" s="16">
        <f t="shared" si="4"/>
        <v>61</v>
      </c>
      <c r="C43" s="27">
        <f t="shared" si="5"/>
        <v>2021</v>
      </c>
      <c r="D43" s="54"/>
      <c r="E43" s="17">
        <v>6188036</v>
      </c>
      <c r="F43" s="14" t="s">
        <v>117</v>
      </c>
      <c r="G43" s="14" t="s">
        <v>251</v>
      </c>
      <c r="H43" s="18" t="s">
        <v>252</v>
      </c>
      <c r="I43" s="25" t="s">
        <v>48</v>
      </c>
      <c r="J43" s="25">
        <v>665</v>
      </c>
      <c r="K43" s="25">
        <v>405</v>
      </c>
      <c r="L43" s="25">
        <v>260</v>
      </c>
      <c r="M43" s="25"/>
      <c r="N43" s="25"/>
      <c r="O43" s="25"/>
      <c r="P43" s="25"/>
      <c r="Q43" s="25"/>
      <c r="R43" s="25"/>
      <c r="S43" s="35">
        <v>43880</v>
      </c>
      <c r="T43" s="51">
        <v>43862</v>
      </c>
      <c r="U43" s="25"/>
      <c r="V43" s="25"/>
      <c r="W43" s="25" t="s">
        <v>253</v>
      </c>
      <c r="X43" s="25" t="s">
        <v>254</v>
      </c>
      <c r="Y43" s="25"/>
      <c r="Z43" s="25"/>
      <c r="AA43" s="25"/>
      <c r="AB43" s="25"/>
      <c r="AC43" s="25" t="str">
        <f>TRIM(StudentScore[[#This Row],[Student Email]])</f>
        <v>thanatorn.pra@student.mahidol.ac.th</v>
      </c>
    </row>
    <row r="44" spans="1:29" ht="27">
      <c r="A44" s="15">
        <v>38</v>
      </c>
      <c r="B44" s="16">
        <f t="shared" si="4"/>
        <v>61</v>
      </c>
      <c r="C44" s="27">
        <f t="shared" si="5"/>
        <v>2021</v>
      </c>
      <c r="D44" s="54"/>
      <c r="E44" s="17">
        <v>6188037</v>
      </c>
      <c r="F44" s="14" t="s">
        <v>117</v>
      </c>
      <c r="G44" s="14" t="s">
        <v>255</v>
      </c>
      <c r="H44" s="18" t="s">
        <v>256</v>
      </c>
      <c r="I44" s="25" t="s">
        <v>102</v>
      </c>
      <c r="J44" s="25">
        <v>75</v>
      </c>
      <c r="K44" s="25"/>
      <c r="L44" s="25"/>
      <c r="M44" s="25"/>
      <c r="N44" s="25"/>
      <c r="O44" s="25"/>
      <c r="P44" s="25"/>
      <c r="Q44" s="25"/>
      <c r="R44" s="25"/>
      <c r="S44" s="25"/>
      <c r="T44" s="51">
        <v>44348</v>
      </c>
      <c r="U44" s="25"/>
      <c r="V44" s="25"/>
      <c r="W44" s="25" t="s">
        <v>257</v>
      </c>
      <c r="X44" s="25" t="s">
        <v>258</v>
      </c>
      <c r="Y44" s="25"/>
      <c r="Z44" s="25"/>
      <c r="AA44" s="25"/>
      <c r="AB44" s="25"/>
      <c r="AC44" s="25" t="str">
        <f>TRIM(StudentScore[[#This Row],[Student Email]])</f>
        <v>boonyawee.ros@student.mahidol.ac.th</v>
      </c>
    </row>
    <row r="45" spans="1:29" ht="27">
      <c r="A45" s="15">
        <v>39</v>
      </c>
      <c r="B45" s="16">
        <f t="shared" si="4"/>
        <v>61</v>
      </c>
      <c r="C45" s="27">
        <f t="shared" si="5"/>
        <v>2021</v>
      </c>
      <c r="D45" s="54"/>
      <c r="E45" s="17">
        <v>6188038</v>
      </c>
      <c r="F45" s="14" t="s">
        <v>117</v>
      </c>
      <c r="G45" s="14" t="s">
        <v>259</v>
      </c>
      <c r="H45" s="18" t="s">
        <v>260</v>
      </c>
      <c r="I45" s="25" t="s">
        <v>102</v>
      </c>
      <c r="J45" s="25">
        <v>77</v>
      </c>
      <c r="K45" s="25"/>
      <c r="L45" s="25"/>
      <c r="M45" s="25"/>
      <c r="N45" s="25"/>
      <c r="O45" s="25"/>
      <c r="P45" s="25"/>
      <c r="Q45" s="25"/>
      <c r="R45" s="25"/>
      <c r="S45" s="25"/>
      <c r="T45" s="51">
        <v>44348</v>
      </c>
      <c r="U45" s="25"/>
      <c r="V45" s="25"/>
      <c r="W45" s="52" t="s">
        <v>261</v>
      </c>
      <c r="X45" s="52" t="s">
        <v>262</v>
      </c>
      <c r="Y45" s="25"/>
      <c r="Z45" s="25"/>
      <c r="AA45" s="25"/>
      <c r="AB45" s="25"/>
      <c r="AC45" s="25" t="str">
        <f>TRIM(StudentScore[[#This Row],[Student Email]])</f>
        <v>jantarawan.sae@student.mahidol.ac.th</v>
      </c>
    </row>
    <row r="46" spans="1:29" ht="27">
      <c r="A46" s="15">
        <v>40</v>
      </c>
      <c r="B46" s="16">
        <f t="shared" si="4"/>
        <v>61</v>
      </c>
      <c r="C46" s="27">
        <f t="shared" si="5"/>
        <v>2021</v>
      </c>
      <c r="D46" s="54"/>
      <c r="E46" s="17">
        <v>6188039</v>
      </c>
      <c r="F46" s="14" t="s">
        <v>38</v>
      </c>
      <c r="G46" s="14" t="s">
        <v>263</v>
      </c>
      <c r="H46" s="18" t="s">
        <v>264</v>
      </c>
      <c r="I46" s="25" t="s">
        <v>48</v>
      </c>
      <c r="J46" s="25">
        <v>655</v>
      </c>
      <c r="K46" s="25">
        <v>305</v>
      </c>
      <c r="L46" s="25">
        <v>350</v>
      </c>
      <c r="M46" s="25"/>
      <c r="N46" s="25"/>
      <c r="O46" s="25"/>
      <c r="P46" s="25"/>
      <c r="Q46" s="25"/>
      <c r="R46" s="25"/>
      <c r="S46" s="35">
        <v>44090</v>
      </c>
      <c r="T46" s="51">
        <v>44105</v>
      </c>
      <c r="U46" s="25"/>
      <c r="V46" s="25"/>
      <c r="W46" s="25" t="s">
        <v>265</v>
      </c>
      <c r="X46" s="25" t="s">
        <v>266</v>
      </c>
      <c r="Y46" s="25"/>
      <c r="Z46" s="25"/>
      <c r="AA46" s="25"/>
      <c r="AB46" s="25"/>
      <c r="AC46" s="25" t="str">
        <f>TRIM(StudentScore[[#This Row],[Student Email]])</f>
        <v>ekaphat.sea@student.mahidol.ac.th</v>
      </c>
    </row>
    <row r="47" spans="1:29" ht="27">
      <c r="A47" s="15">
        <v>41</v>
      </c>
      <c r="B47" s="16">
        <f t="shared" si="4"/>
        <v>61</v>
      </c>
      <c r="C47" s="27">
        <f t="shared" si="5"/>
        <v>2021</v>
      </c>
      <c r="D47" s="54"/>
      <c r="E47" s="17">
        <v>6188041</v>
      </c>
      <c r="F47" s="14" t="s">
        <v>38</v>
      </c>
      <c r="G47" s="14" t="s">
        <v>267</v>
      </c>
      <c r="H47" s="18" t="s">
        <v>268</v>
      </c>
      <c r="I47" s="25" t="s">
        <v>214</v>
      </c>
      <c r="J47" s="25">
        <v>130</v>
      </c>
      <c r="K47" s="25"/>
      <c r="L47" s="25"/>
      <c r="M47" s="25"/>
      <c r="N47" s="25"/>
      <c r="O47" s="25">
        <v>140</v>
      </c>
      <c r="P47" s="25">
        <v>105</v>
      </c>
      <c r="Q47" s="25">
        <v>130</v>
      </c>
      <c r="R47" s="25">
        <v>100</v>
      </c>
      <c r="S47" s="26">
        <v>44689</v>
      </c>
      <c r="T47" s="35">
        <v>44692</v>
      </c>
      <c r="U47" s="25"/>
      <c r="V47" s="25"/>
      <c r="W47" s="25" t="s">
        <v>269</v>
      </c>
      <c r="X47" s="25" t="s">
        <v>270</v>
      </c>
      <c r="Y47" s="42">
        <v>44692.688715277778</v>
      </c>
      <c r="Z47" s="25" t="s">
        <v>271</v>
      </c>
      <c r="AA47" s="25"/>
      <c r="AB47" s="25"/>
      <c r="AC47" s="25" t="str">
        <f>TRIM(StudentScore[[#This Row],[Student Email]])</f>
        <v>ariya.son@student.mahidol.ac.th</v>
      </c>
    </row>
    <row r="48" spans="1:29" ht="27">
      <c r="A48" s="15">
        <v>42</v>
      </c>
      <c r="B48" s="16">
        <f t="shared" si="4"/>
        <v>61</v>
      </c>
      <c r="C48" s="27">
        <f t="shared" si="5"/>
        <v>2021</v>
      </c>
      <c r="D48" s="54"/>
      <c r="E48" s="17">
        <v>6188042</v>
      </c>
      <c r="F48" s="14" t="s">
        <v>38</v>
      </c>
      <c r="G48" s="14" t="s">
        <v>272</v>
      </c>
      <c r="H48" s="18" t="s">
        <v>273</v>
      </c>
      <c r="I48" s="25" t="s">
        <v>48</v>
      </c>
      <c r="J48" s="25">
        <v>860</v>
      </c>
      <c r="K48" s="25">
        <v>440</v>
      </c>
      <c r="L48" s="25">
        <v>420</v>
      </c>
      <c r="M48" s="25"/>
      <c r="N48" s="25"/>
      <c r="O48" s="25"/>
      <c r="P48" s="25"/>
      <c r="Q48" s="25"/>
      <c r="R48" s="25"/>
      <c r="S48" s="35">
        <v>43903</v>
      </c>
      <c r="T48" s="51">
        <v>44105</v>
      </c>
      <c r="U48" s="25"/>
      <c r="V48" s="25"/>
      <c r="W48" s="25" t="s">
        <v>274</v>
      </c>
      <c r="X48" s="25" t="s">
        <v>275</v>
      </c>
      <c r="Y48" s="25"/>
      <c r="Z48" s="25"/>
      <c r="AA48" s="25"/>
      <c r="AB48" s="25"/>
      <c r="AC48" s="25" t="str">
        <f>TRIM(StudentScore[[#This Row],[Student Email]])</f>
        <v>natchanon.tha@student.mahidol.ac.th</v>
      </c>
    </row>
    <row r="49" spans="1:29" ht="27">
      <c r="A49" s="15">
        <v>43</v>
      </c>
      <c r="B49" s="16">
        <f t="shared" si="4"/>
        <v>61</v>
      </c>
      <c r="C49" s="27">
        <f t="shared" si="5"/>
        <v>2021</v>
      </c>
      <c r="D49" s="54"/>
      <c r="E49" s="17">
        <v>6188043</v>
      </c>
      <c r="F49" s="14" t="s">
        <v>38</v>
      </c>
      <c r="G49" s="14" t="s">
        <v>276</v>
      </c>
      <c r="H49" s="18" t="s">
        <v>277</v>
      </c>
      <c r="I49" s="25" t="s">
        <v>244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 t="s">
        <v>278</v>
      </c>
      <c r="X49" s="25" t="s">
        <v>279</v>
      </c>
      <c r="Y49" s="25"/>
      <c r="Z49" s="25"/>
      <c r="AA49" s="25"/>
      <c r="AB49" s="25"/>
      <c r="AC49" s="25" t="str">
        <f>TRIM(StudentScore[[#This Row],[Student Email]])</f>
        <v>karin.vit@student.mahidol.ac.th</v>
      </c>
    </row>
    <row r="50" spans="1:29" ht="27">
      <c r="A50" s="15">
        <v>44</v>
      </c>
      <c r="B50" s="16">
        <f t="shared" si="4"/>
        <v>61</v>
      </c>
      <c r="C50" s="27">
        <f t="shared" si="5"/>
        <v>2021</v>
      </c>
      <c r="D50" s="54"/>
      <c r="E50" s="17">
        <v>6188044</v>
      </c>
      <c r="F50" s="14" t="s">
        <v>38</v>
      </c>
      <c r="G50" s="14" t="s">
        <v>280</v>
      </c>
      <c r="H50" s="18" t="s">
        <v>281</v>
      </c>
      <c r="I50" s="25" t="s">
        <v>102</v>
      </c>
      <c r="J50" s="25">
        <v>88</v>
      </c>
      <c r="K50" s="25"/>
      <c r="L50" s="25"/>
      <c r="M50" s="25"/>
      <c r="N50" s="25"/>
      <c r="O50" s="25"/>
      <c r="P50" s="25"/>
      <c r="Q50" s="25"/>
      <c r="R50" s="25"/>
      <c r="S50" s="25"/>
      <c r="T50" s="51">
        <v>44682</v>
      </c>
      <c r="U50" s="25"/>
      <c r="V50" s="25"/>
      <c r="W50" s="25" t="s">
        <v>282</v>
      </c>
      <c r="X50" s="25" t="s">
        <v>283</v>
      </c>
      <c r="Y50" s="25"/>
      <c r="Z50" s="25"/>
      <c r="AA50" s="25"/>
      <c r="AB50" s="25"/>
      <c r="AC50" s="25" t="str">
        <f>TRIM(StudentScore[[#This Row],[Student Email]])</f>
        <v>chulajak.wat@student.mahidol.ac.th</v>
      </c>
    </row>
    <row r="51" spans="1:29" ht="27">
      <c r="A51" s="15">
        <v>45</v>
      </c>
      <c r="B51" s="16">
        <f t="shared" si="4"/>
        <v>61</v>
      </c>
      <c r="C51" s="27">
        <f t="shared" si="5"/>
        <v>2021</v>
      </c>
      <c r="D51" s="54"/>
      <c r="E51" s="17">
        <v>6188045</v>
      </c>
      <c r="F51" s="14" t="s">
        <v>38</v>
      </c>
      <c r="G51" s="14" t="s">
        <v>284</v>
      </c>
      <c r="H51" s="18" t="s">
        <v>285</v>
      </c>
      <c r="I51" s="25" t="s">
        <v>124</v>
      </c>
      <c r="J51" s="25">
        <v>5.5</v>
      </c>
      <c r="K51" s="25">
        <v>5.5</v>
      </c>
      <c r="L51" s="25">
        <v>6</v>
      </c>
      <c r="M51" s="25">
        <v>5</v>
      </c>
      <c r="N51" s="25">
        <v>5.5</v>
      </c>
      <c r="O51" s="25"/>
      <c r="P51" s="25"/>
      <c r="Q51" s="25"/>
      <c r="R51" s="25"/>
      <c r="S51" s="35">
        <v>43134</v>
      </c>
      <c r="T51" s="51">
        <v>43313</v>
      </c>
      <c r="U51" s="25"/>
      <c r="V51" s="25"/>
      <c r="W51" s="25" t="s">
        <v>286</v>
      </c>
      <c r="X51" s="25" t="s">
        <v>287</v>
      </c>
      <c r="Y51" s="25"/>
      <c r="Z51" s="25"/>
      <c r="AA51" s="25"/>
      <c r="AB51" s="25"/>
      <c r="AC51" s="25" t="str">
        <f>TRIM(StudentScore[[#This Row],[Student Email]])</f>
        <v>waiwarit.wog@student.mahidol.ac.th</v>
      </c>
    </row>
    <row r="52" spans="1:29" ht="27">
      <c r="A52" s="15">
        <v>46</v>
      </c>
      <c r="B52" s="16">
        <f t="shared" si="4"/>
        <v>61</v>
      </c>
      <c r="C52" s="27">
        <f t="shared" si="5"/>
        <v>2021</v>
      </c>
      <c r="D52" s="54"/>
      <c r="E52" s="17">
        <v>6188046</v>
      </c>
      <c r="F52" s="14" t="s">
        <v>117</v>
      </c>
      <c r="G52" s="14" t="s">
        <v>288</v>
      </c>
      <c r="H52" s="18" t="s">
        <v>289</v>
      </c>
      <c r="I52" s="25" t="s">
        <v>102</v>
      </c>
      <c r="J52" s="25">
        <v>93</v>
      </c>
      <c r="K52" s="25"/>
      <c r="L52" s="25"/>
      <c r="M52" s="25"/>
      <c r="N52" s="25"/>
      <c r="O52" s="25"/>
      <c r="P52" s="25"/>
      <c r="Q52" s="25"/>
      <c r="R52" s="25"/>
      <c r="S52" s="25"/>
      <c r="T52" s="51">
        <v>44348</v>
      </c>
      <c r="U52" s="25"/>
      <c r="V52" s="25"/>
      <c r="W52" s="25" t="s">
        <v>290</v>
      </c>
      <c r="X52" s="25" t="s">
        <v>291</v>
      </c>
      <c r="Y52" s="25"/>
      <c r="Z52" s="25"/>
      <c r="AA52" s="25"/>
      <c r="AB52" s="25"/>
      <c r="AC52" s="25" t="str">
        <f>TRIM(StudentScore[[#This Row],[Student Email]])</f>
        <v>jirachaya.won@student.mahidol.ac.th</v>
      </c>
    </row>
    <row r="53" spans="1:29" ht="27">
      <c r="A53" s="15">
        <v>47</v>
      </c>
      <c r="B53" s="16">
        <f t="shared" si="4"/>
        <v>61</v>
      </c>
      <c r="C53" s="27">
        <f t="shared" si="5"/>
        <v>2021</v>
      </c>
      <c r="D53" s="54"/>
      <c r="E53" s="17">
        <v>6188047</v>
      </c>
      <c r="F53" s="14" t="s">
        <v>117</v>
      </c>
      <c r="G53" s="14" t="s">
        <v>292</v>
      </c>
      <c r="H53" s="18" t="s">
        <v>293</v>
      </c>
      <c r="I53" s="25" t="s">
        <v>48</v>
      </c>
      <c r="J53" s="25">
        <v>720</v>
      </c>
      <c r="K53" s="25">
        <v>390</v>
      </c>
      <c r="L53" s="25">
        <v>330</v>
      </c>
      <c r="M53" s="25"/>
      <c r="N53" s="25"/>
      <c r="O53" s="25"/>
      <c r="P53" s="25"/>
      <c r="Q53" s="25"/>
      <c r="R53" s="25"/>
      <c r="S53" s="35">
        <v>44090</v>
      </c>
      <c r="T53" s="51">
        <v>44075</v>
      </c>
      <c r="U53" s="25"/>
      <c r="V53" s="25"/>
      <c r="W53" s="25" t="s">
        <v>294</v>
      </c>
      <c r="X53" s="25" t="s">
        <v>295</v>
      </c>
      <c r="Y53" s="25"/>
      <c r="Z53" s="25"/>
      <c r="AA53" s="25"/>
      <c r="AB53" s="25"/>
      <c r="AC53" s="25" t="str">
        <f>TRIM(StudentScore[[#This Row],[Student Email]])</f>
        <v>pucharapimon.aru@student.mahidol.ac.th</v>
      </c>
    </row>
    <row r="54" spans="1:29" ht="27">
      <c r="A54" s="15">
        <v>48</v>
      </c>
      <c r="B54" s="16">
        <f t="shared" si="4"/>
        <v>61</v>
      </c>
      <c r="C54" s="27">
        <f t="shared" si="5"/>
        <v>2021</v>
      </c>
      <c r="D54" s="54"/>
      <c r="E54" s="17">
        <v>6188049</v>
      </c>
      <c r="F54" s="14" t="s">
        <v>117</v>
      </c>
      <c r="G54" s="14" t="s">
        <v>296</v>
      </c>
      <c r="H54" s="18" t="s">
        <v>297</v>
      </c>
      <c r="I54" s="25" t="s">
        <v>48</v>
      </c>
      <c r="J54" s="25">
        <v>905</v>
      </c>
      <c r="K54" s="25">
        <v>495</v>
      </c>
      <c r="L54" s="25">
        <v>410</v>
      </c>
      <c r="M54" s="25"/>
      <c r="N54" s="25"/>
      <c r="O54" s="25"/>
      <c r="P54" s="25"/>
      <c r="Q54" s="25"/>
      <c r="R54" s="25"/>
      <c r="S54" s="35">
        <v>43880</v>
      </c>
      <c r="T54" s="51">
        <v>43862</v>
      </c>
      <c r="U54" s="25"/>
      <c r="V54" s="25"/>
      <c r="W54" s="25" t="s">
        <v>298</v>
      </c>
      <c r="X54" s="25" t="s">
        <v>299</v>
      </c>
      <c r="Y54" s="25"/>
      <c r="Z54" s="25"/>
      <c r="AA54" s="25"/>
      <c r="AB54" s="25"/>
      <c r="AC54" s="25" t="str">
        <f>TRIM(StudentScore[[#This Row],[Student Email]])</f>
        <v>kanrawee.chi@student.mahidol.ac.th</v>
      </c>
    </row>
    <row r="55" spans="1:29" ht="27">
      <c r="A55" s="15">
        <v>49</v>
      </c>
      <c r="B55" s="16">
        <f t="shared" si="4"/>
        <v>61</v>
      </c>
      <c r="C55" s="27">
        <f t="shared" si="5"/>
        <v>2021</v>
      </c>
      <c r="D55" s="54"/>
      <c r="E55" s="17">
        <v>6188050</v>
      </c>
      <c r="F55" s="14" t="s">
        <v>117</v>
      </c>
      <c r="G55" s="14" t="s">
        <v>300</v>
      </c>
      <c r="H55" s="18" t="s">
        <v>301</v>
      </c>
      <c r="I55" s="25" t="s">
        <v>102</v>
      </c>
      <c r="J55" s="25">
        <v>89</v>
      </c>
      <c r="K55" s="25"/>
      <c r="L55" s="25"/>
      <c r="M55" s="25"/>
      <c r="N55" s="25"/>
      <c r="O55" s="25"/>
      <c r="P55" s="25"/>
      <c r="Q55" s="25"/>
      <c r="R55" s="25"/>
      <c r="S55" s="25"/>
      <c r="T55" s="51">
        <v>44531</v>
      </c>
      <c r="U55" s="25"/>
      <c r="V55" s="25"/>
      <c r="W55" s="25" t="s">
        <v>302</v>
      </c>
      <c r="X55" s="25" t="s">
        <v>303</v>
      </c>
      <c r="Y55" s="25"/>
      <c r="Z55" s="25"/>
      <c r="AA55" s="25"/>
      <c r="AB55" s="25"/>
      <c r="AC55" s="25" t="str">
        <f>TRIM(StudentScore[[#This Row],[Student Email]])</f>
        <v>wongchanok.dev@student.mahidol.ac.th</v>
      </c>
    </row>
    <row r="56" spans="1:29" ht="27">
      <c r="A56" s="15">
        <v>50</v>
      </c>
      <c r="B56" s="16">
        <f t="shared" si="4"/>
        <v>61</v>
      </c>
      <c r="C56" s="27">
        <f t="shared" si="5"/>
        <v>2021</v>
      </c>
      <c r="D56" s="54"/>
      <c r="E56" s="17">
        <v>6188052</v>
      </c>
      <c r="F56" s="14" t="s">
        <v>117</v>
      </c>
      <c r="G56" s="14" t="s">
        <v>304</v>
      </c>
      <c r="H56" s="18" t="s">
        <v>305</v>
      </c>
      <c r="I56" s="25" t="s">
        <v>48</v>
      </c>
      <c r="J56" s="25">
        <v>640</v>
      </c>
      <c r="K56" s="25">
        <v>350</v>
      </c>
      <c r="L56" s="25">
        <v>290</v>
      </c>
      <c r="M56" s="25"/>
      <c r="N56" s="25"/>
      <c r="O56" s="25"/>
      <c r="P56" s="25"/>
      <c r="Q56" s="25"/>
      <c r="R56" s="25"/>
      <c r="S56" s="35">
        <v>44153</v>
      </c>
      <c r="T56" s="51">
        <v>44136</v>
      </c>
      <c r="U56" s="25"/>
      <c r="V56" s="25"/>
      <c r="W56" s="25" t="s">
        <v>306</v>
      </c>
      <c r="X56" s="25" t="s">
        <v>307</v>
      </c>
      <c r="Y56" s="25"/>
      <c r="Z56" s="25"/>
      <c r="AA56" s="25"/>
      <c r="AB56" s="25"/>
      <c r="AC56" s="25" t="str">
        <f>TRIM(StudentScore[[#This Row],[Student Email]])</f>
        <v>paphawarin.kan@student.mahidol.ac.th</v>
      </c>
    </row>
    <row r="57" spans="1:29" ht="27">
      <c r="A57" s="15">
        <v>51</v>
      </c>
      <c r="B57" s="16">
        <f t="shared" si="4"/>
        <v>61</v>
      </c>
      <c r="C57" s="27">
        <f t="shared" si="5"/>
        <v>2021</v>
      </c>
      <c r="D57" s="54"/>
      <c r="E57" s="17">
        <v>6188053</v>
      </c>
      <c r="F57" s="14" t="s">
        <v>117</v>
      </c>
      <c r="G57" s="14" t="s">
        <v>308</v>
      </c>
      <c r="H57" s="18" t="s">
        <v>309</v>
      </c>
      <c r="I57" s="25" t="s">
        <v>48</v>
      </c>
      <c r="J57" s="25">
        <v>680</v>
      </c>
      <c r="K57" s="25">
        <v>390</v>
      </c>
      <c r="L57" s="25">
        <v>290</v>
      </c>
      <c r="M57" s="25"/>
      <c r="N57" s="25"/>
      <c r="O57" s="25"/>
      <c r="P57" s="25"/>
      <c r="Q57" s="25"/>
      <c r="R57" s="25"/>
      <c r="S57" s="35">
        <v>44153</v>
      </c>
      <c r="T57" s="51">
        <v>44136</v>
      </c>
      <c r="U57" s="25"/>
      <c r="V57" s="25"/>
      <c r="W57" s="25" t="s">
        <v>310</v>
      </c>
      <c r="X57" s="25" t="s">
        <v>311</v>
      </c>
      <c r="Y57" s="25"/>
      <c r="Z57" s="25"/>
      <c r="AA57" s="25"/>
      <c r="AB57" s="25"/>
      <c r="AC57" s="25" t="str">
        <f>TRIM(StudentScore[[#This Row],[Student Email]])</f>
        <v>thipwara.kar@student.mahidol.ac.th</v>
      </c>
    </row>
    <row r="58" spans="1:29" ht="27">
      <c r="A58" s="15">
        <v>52</v>
      </c>
      <c r="B58" s="16">
        <f t="shared" si="4"/>
        <v>61</v>
      </c>
      <c r="C58" s="27">
        <f t="shared" si="5"/>
        <v>2021</v>
      </c>
      <c r="D58" s="54"/>
      <c r="E58" s="17">
        <v>6188054</v>
      </c>
      <c r="F58" s="14" t="s">
        <v>38</v>
      </c>
      <c r="G58" s="14" t="s">
        <v>312</v>
      </c>
      <c r="H58" s="18" t="s">
        <v>313</v>
      </c>
      <c r="I58" s="25" t="s">
        <v>102</v>
      </c>
      <c r="J58" s="25">
        <v>85</v>
      </c>
      <c r="K58" s="25"/>
      <c r="L58" s="25"/>
      <c r="M58" s="25"/>
      <c r="N58" s="25"/>
      <c r="O58" s="25"/>
      <c r="P58" s="25"/>
      <c r="Q58" s="25"/>
      <c r="R58" s="25"/>
      <c r="S58" s="25"/>
      <c r="T58" s="51">
        <v>44531</v>
      </c>
      <c r="U58" s="25"/>
      <c r="V58" s="25"/>
      <c r="W58" s="25" t="s">
        <v>314</v>
      </c>
      <c r="X58" s="25" t="s">
        <v>315</v>
      </c>
      <c r="Y58" s="25"/>
      <c r="Z58" s="25"/>
      <c r="AA58" s="25"/>
      <c r="AB58" s="25"/>
      <c r="AC58" s="25" t="str">
        <f>TRIM(StudentScore[[#This Row],[Student Email]])</f>
        <v>suphanat.lim@student.mahidol.ac.th</v>
      </c>
    </row>
    <row r="59" spans="1:29" ht="27">
      <c r="A59" s="15">
        <v>53</v>
      </c>
      <c r="B59" s="16">
        <f t="shared" si="4"/>
        <v>61</v>
      </c>
      <c r="C59" s="27">
        <f t="shared" si="5"/>
        <v>2021</v>
      </c>
      <c r="D59" s="54"/>
      <c r="E59" s="17">
        <v>6188055</v>
      </c>
      <c r="F59" s="14" t="s">
        <v>38</v>
      </c>
      <c r="G59" s="14" t="s">
        <v>316</v>
      </c>
      <c r="H59" s="18" t="s">
        <v>317</v>
      </c>
      <c r="I59" s="25" t="s">
        <v>102</v>
      </c>
      <c r="J59" s="25">
        <v>95</v>
      </c>
      <c r="K59" s="25"/>
      <c r="L59" s="25"/>
      <c r="M59" s="25"/>
      <c r="N59" s="25"/>
      <c r="O59" s="25"/>
      <c r="P59" s="25"/>
      <c r="Q59" s="25"/>
      <c r="R59" s="25"/>
      <c r="S59" s="25"/>
      <c r="T59" s="51">
        <v>44348</v>
      </c>
      <c r="U59" s="25"/>
      <c r="V59" s="25"/>
      <c r="W59" s="25" t="s">
        <v>318</v>
      </c>
      <c r="X59" s="25" t="s">
        <v>319</v>
      </c>
      <c r="Y59" s="25"/>
      <c r="Z59" s="25"/>
      <c r="AA59" s="25"/>
      <c r="AB59" s="25"/>
      <c r="AC59" s="25" t="str">
        <f>TRIM(StudentScore[[#This Row],[Student Email]])</f>
        <v>mangkhales.nga@student.mahidol.ac.th</v>
      </c>
    </row>
    <row r="60" spans="1:29" ht="27">
      <c r="A60" s="15">
        <v>54</v>
      </c>
      <c r="B60" s="16">
        <f t="shared" si="4"/>
        <v>61</v>
      </c>
      <c r="C60" s="27">
        <f t="shared" si="5"/>
        <v>2021</v>
      </c>
      <c r="D60" s="54"/>
      <c r="E60" s="17">
        <v>6188056</v>
      </c>
      <c r="F60" s="14" t="s">
        <v>38</v>
      </c>
      <c r="G60" s="14" t="s">
        <v>320</v>
      </c>
      <c r="H60" s="18" t="s">
        <v>321</v>
      </c>
      <c r="I60" s="25" t="s">
        <v>48</v>
      </c>
      <c r="J60" s="25">
        <v>700</v>
      </c>
      <c r="K60" s="25">
        <v>375</v>
      </c>
      <c r="L60" s="25">
        <v>325</v>
      </c>
      <c r="M60" s="25"/>
      <c r="N60" s="25"/>
      <c r="O60" s="25"/>
      <c r="P60" s="25"/>
      <c r="Q60" s="25"/>
      <c r="R60" s="25"/>
      <c r="S60" s="35">
        <v>43880</v>
      </c>
      <c r="T60" s="51">
        <v>43862</v>
      </c>
      <c r="U60" s="25"/>
      <c r="V60" s="25"/>
      <c r="W60" s="25" t="s">
        <v>322</v>
      </c>
      <c r="X60" s="25" t="s">
        <v>323</v>
      </c>
      <c r="Y60" s="25"/>
      <c r="Z60" s="25"/>
      <c r="AA60" s="25"/>
      <c r="AB60" s="25"/>
      <c r="AC60" s="25" t="str">
        <f>TRIM(StudentScore[[#This Row],[Student Email]])</f>
        <v>supachok.pho@student.mahidol.ac.th</v>
      </c>
    </row>
    <row r="61" spans="1:29" ht="27">
      <c r="A61" s="15">
        <v>55</v>
      </c>
      <c r="B61" s="16">
        <f t="shared" si="4"/>
        <v>61</v>
      </c>
      <c r="C61" s="27">
        <f t="shared" si="5"/>
        <v>2021</v>
      </c>
      <c r="D61" s="54"/>
      <c r="E61" s="17">
        <v>6188057</v>
      </c>
      <c r="F61" s="14" t="s">
        <v>38</v>
      </c>
      <c r="G61" s="14" t="s">
        <v>324</v>
      </c>
      <c r="H61" s="18" t="s">
        <v>325</v>
      </c>
      <c r="I61" s="25" t="s">
        <v>102</v>
      </c>
      <c r="J61" s="25">
        <v>75</v>
      </c>
      <c r="K61" s="25"/>
      <c r="L61" s="25"/>
      <c r="M61" s="25"/>
      <c r="N61" s="25"/>
      <c r="O61" s="25"/>
      <c r="P61" s="25"/>
      <c r="Q61" s="25"/>
      <c r="R61" s="25"/>
      <c r="S61" s="25"/>
      <c r="T61" s="51">
        <v>44348</v>
      </c>
      <c r="U61" s="25"/>
      <c r="V61" s="25"/>
      <c r="W61" s="25" t="s">
        <v>326</v>
      </c>
      <c r="X61" s="25" t="s">
        <v>327</v>
      </c>
      <c r="Y61" s="25"/>
      <c r="Z61" s="25"/>
      <c r="AA61" s="25"/>
      <c r="AB61" s="25"/>
      <c r="AC61" s="25" t="str">
        <f>TRIM(StudentScore[[#This Row],[Student Email]])</f>
        <v>kritchanok.pon@student.mahidol.ac.th</v>
      </c>
    </row>
    <row r="62" spans="1:29" ht="27">
      <c r="A62" s="15">
        <v>56</v>
      </c>
      <c r="B62" s="16">
        <f t="shared" si="4"/>
        <v>61</v>
      </c>
      <c r="C62" s="27">
        <f t="shared" si="5"/>
        <v>2021</v>
      </c>
      <c r="D62" s="54"/>
      <c r="E62" s="17">
        <v>6188058</v>
      </c>
      <c r="F62" s="14" t="s">
        <v>117</v>
      </c>
      <c r="G62" s="14" t="s">
        <v>328</v>
      </c>
      <c r="H62" s="18" t="s">
        <v>329</v>
      </c>
      <c r="I62" s="25" t="s">
        <v>48</v>
      </c>
      <c r="J62" s="25">
        <v>740</v>
      </c>
      <c r="K62" s="25">
        <v>445</v>
      </c>
      <c r="L62" s="25">
        <v>295</v>
      </c>
      <c r="M62" s="25"/>
      <c r="N62" s="25"/>
      <c r="O62" s="25"/>
      <c r="P62" s="25"/>
      <c r="Q62" s="25"/>
      <c r="R62" s="25"/>
      <c r="S62" s="35">
        <v>43796</v>
      </c>
      <c r="T62" s="51">
        <v>43770</v>
      </c>
      <c r="U62" s="25"/>
      <c r="V62" s="25"/>
      <c r="W62" s="25" t="s">
        <v>330</v>
      </c>
      <c r="X62" s="25" t="s">
        <v>331</v>
      </c>
      <c r="Y62" s="25"/>
      <c r="Z62" s="25"/>
      <c r="AA62" s="25"/>
      <c r="AB62" s="25"/>
      <c r="AC62" s="25" t="str">
        <f>TRIM(StudentScore[[#This Row],[Student Email]])</f>
        <v>hathaichanok.pot@student.mahidol.ac.th</v>
      </c>
    </row>
    <row r="63" spans="1:29" ht="27">
      <c r="A63" s="15">
        <v>57</v>
      </c>
      <c r="B63" s="16">
        <f t="shared" si="4"/>
        <v>61</v>
      </c>
      <c r="C63" s="27">
        <f t="shared" si="5"/>
        <v>2021</v>
      </c>
      <c r="D63" s="54"/>
      <c r="E63" s="17">
        <v>6188059</v>
      </c>
      <c r="F63" s="14" t="s">
        <v>117</v>
      </c>
      <c r="G63" s="14" t="s">
        <v>176</v>
      </c>
      <c r="H63" s="18" t="s">
        <v>332</v>
      </c>
      <c r="I63" s="25" t="s">
        <v>48</v>
      </c>
      <c r="J63" s="25">
        <v>635</v>
      </c>
      <c r="K63" s="25">
        <v>345</v>
      </c>
      <c r="L63" s="25">
        <v>290</v>
      </c>
      <c r="M63" s="25"/>
      <c r="N63" s="25"/>
      <c r="O63" s="25"/>
      <c r="P63" s="25"/>
      <c r="Q63" s="25"/>
      <c r="R63" s="25"/>
      <c r="S63" s="35">
        <v>43880</v>
      </c>
      <c r="T63" s="51">
        <v>43862</v>
      </c>
      <c r="U63" s="25"/>
      <c r="V63" s="25"/>
      <c r="W63" s="25" t="s">
        <v>333</v>
      </c>
      <c r="X63" s="25" t="s">
        <v>334</v>
      </c>
      <c r="Y63" s="25"/>
      <c r="Z63" s="25"/>
      <c r="AA63" s="25"/>
      <c r="AB63" s="25"/>
      <c r="AC63" s="25" t="str">
        <f>TRIM(StudentScore[[#This Row],[Student Email]])</f>
        <v>thanaporn.pug@student.mahidol.ac.th</v>
      </c>
    </row>
    <row r="64" spans="1:29" ht="27">
      <c r="A64" s="15">
        <v>58</v>
      </c>
      <c r="B64" s="16">
        <f t="shared" si="4"/>
        <v>61</v>
      </c>
      <c r="C64" s="27">
        <f t="shared" si="5"/>
        <v>2021</v>
      </c>
      <c r="D64" s="54"/>
      <c r="E64" s="17">
        <v>6188060</v>
      </c>
      <c r="F64" s="14" t="s">
        <v>38</v>
      </c>
      <c r="G64" s="14" t="s">
        <v>335</v>
      </c>
      <c r="H64" s="18" t="s">
        <v>336</v>
      </c>
      <c r="I64" s="25" t="s">
        <v>102</v>
      </c>
      <c r="J64" s="25">
        <v>88</v>
      </c>
      <c r="K64" s="25"/>
      <c r="L64" s="25"/>
      <c r="M64" s="25"/>
      <c r="N64" s="25"/>
      <c r="O64" s="25"/>
      <c r="P64" s="25"/>
      <c r="Q64" s="25"/>
      <c r="R64" s="25"/>
      <c r="S64" s="25"/>
      <c r="T64" s="51">
        <v>44531</v>
      </c>
      <c r="U64" s="25"/>
      <c r="V64" s="25"/>
      <c r="W64" s="25" t="s">
        <v>337</v>
      </c>
      <c r="X64" s="25" t="s">
        <v>338</v>
      </c>
      <c r="Y64" s="25"/>
      <c r="Z64" s="25"/>
      <c r="AA64" s="25"/>
      <c r="AB64" s="25"/>
      <c r="AC64" s="25" t="str">
        <f>TRIM(StudentScore[[#This Row],[Student Email]])</f>
        <v>tanadon.san@student.mahidol.ac.th</v>
      </c>
    </row>
    <row r="65" spans="1:29" ht="27">
      <c r="A65" s="15">
        <v>59</v>
      </c>
      <c r="B65" s="16">
        <f t="shared" si="4"/>
        <v>61</v>
      </c>
      <c r="C65" s="27">
        <f t="shared" si="5"/>
        <v>2021</v>
      </c>
      <c r="D65" s="54"/>
      <c r="E65" s="17">
        <v>6188061</v>
      </c>
      <c r="F65" s="14" t="s">
        <v>38</v>
      </c>
      <c r="G65" s="14" t="s">
        <v>339</v>
      </c>
      <c r="H65" s="18" t="s">
        <v>340</v>
      </c>
      <c r="I65" s="25" t="s">
        <v>133</v>
      </c>
      <c r="J65" s="25">
        <v>135</v>
      </c>
      <c r="K65" s="25"/>
      <c r="L65" s="25"/>
      <c r="M65" s="25"/>
      <c r="N65" s="25"/>
      <c r="O65" s="25"/>
      <c r="P65" s="25"/>
      <c r="Q65" s="25"/>
      <c r="R65" s="25"/>
      <c r="S65" s="35">
        <v>44480</v>
      </c>
      <c r="T65" s="51">
        <v>44440</v>
      </c>
      <c r="U65" s="25"/>
      <c r="V65" s="25"/>
      <c r="W65" s="25" t="s">
        <v>341</v>
      </c>
      <c r="X65" s="25" t="s">
        <v>342</v>
      </c>
      <c r="Y65" s="25"/>
      <c r="Z65" s="25"/>
      <c r="AA65" s="25"/>
      <c r="AB65" s="25"/>
      <c r="AC65" s="25" t="str">
        <f>TRIM(StudentScore[[#This Row],[Student Email]])</f>
        <v>worameth.sir@student.mahidol.ac.th</v>
      </c>
    </row>
    <row r="66" spans="1:29" ht="27">
      <c r="A66" s="15">
        <v>60</v>
      </c>
      <c r="B66" s="16">
        <f t="shared" si="4"/>
        <v>61</v>
      </c>
      <c r="C66" s="27">
        <f t="shared" si="5"/>
        <v>2021</v>
      </c>
      <c r="D66" s="54"/>
      <c r="E66" s="17">
        <v>6188062</v>
      </c>
      <c r="F66" s="14" t="s">
        <v>38</v>
      </c>
      <c r="G66" s="14" t="s">
        <v>343</v>
      </c>
      <c r="H66" s="18" t="s">
        <v>344</v>
      </c>
      <c r="I66" s="25" t="s">
        <v>124</v>
      </c>
      <c r="J66" s="25">
        <v>5.5</v>
      </c>
      <c r="K66" s="25">
        <v>5</v>
      </c>
      <c r="L66" s="25">
        <v>5</v>
      </c>
      <c r="M66" s="25">
        <v>6</v>
      </c>
      <c r="N66" s="25">
        <v>5.5</v>
      </c>
      <c r="O66" s="25"/>
      <c r="P66" s="25"/>
      <c r="Q66" s="25"/>
      <c r="R66" s="25"/>
      <c r="S66" s="35">
        <v>43085</v>
      </c>
      <c r="T66" s="51">
        <v>43313</v>
      </c>
      <c r="U66" s="25"/>
      <c r="V66" s="25"/>
      <c r="W66" s="25" t="s">
        <v>345</v>
      </c>
      <c r="X66" s="25" t="s">
        <v>346</v>
      </c>
      <c r="Y66" s="25"/>
      <c r="Z66" s="25"/>
      <c r="AA66" s="25"/>
      <c r="AB66" s="25"/>
      <c r="AC66" s="25" t="str">
        <f>TRIM(StudentScore[[#This Row],[Student Email]])</f>
        <v>phonarnun.tai@student.mahidol.ac.th</v>
      </c>
    </row>
    <row r="67" spans="1:29" ht="27">
      <c r="A67" s="15">
        <v>61</v>
      </c>
      <c r="B67" s="16">
        <f t="shared" si="4"/>
        <v>61</v>
      </c>
      <c r="C67" s="27">
        <f t="shared" si="5"/>
        <v>2021</v>
      </c>
      <c r="D67" s="54"/>
      <c r="E67" s="17">
        <v>6188063</v>
      </c>
      <c r="F67" s="14" t="s">
        <v>117</v>
      </c>
      <c r="G67" s="14" t="s">
        <v>347</v>
      </c>
      <c r="H67" s="18" t="s">
        <v>348</v>
      </c>
      <c r="I67" s="25" t="s">
        <v>48</v>
      </c>
      <c r="J67" s="25">
        <v>795</v>
      </c>
      <c r="K67" s="25">
        <v>400</v>
      </c>
      <c r="L67" s="25">
        <v>395</v>
      </c>
      <c r="M67" s="25"/>
      <c r="N67" s="25"/>
      <c r="O67" s="25"/>
      <c r="P67" s="25"/>
      <c r="Q67" s="25"/>
      <c r="R67" s="25"/>
      <c r="S67" s="35">
        <v>44090</v>
      </c>
      <c r="T67" s="51">
        <v>44105</v>
      </c>
      <c r="U67" s="25"/>
      <c r="V67" s="25"/>
      <c r="W67" s="25" t="s">
        <v>349</v>
      </c>
      <c r="X67" s="25" t="s">
        <v>350</v>
      </c>
      <c r="Y67" s="25"/>
      <c r="Z67" s="25"/>
      <c r="AA67" s="25"/>
      <c r="AB67" s="25"/>
      <c r="AC67" s="25" t="str">
        <f>TRIM(StudentScore[[#This Row],[Student Email]])</f>
        <v>thanjira.tor@student.mahidol.ac.th</v>
      </c>
    </row>
    <row r="68" spans="1:29" ht="27">
      <c r="A68" s="15">
        <v>62</v>
      </c>
      <c r="B68" s="16">
        <f t="shared" si="4"/>
        <v>61</v>
      </c>
      <c r="C68" s="27">
        <f t="shared" si="5"/>
        <v>2021</v>
      </c>
      <c r="D68" s="54"/>
      <c r="E68" s="17">
        <v>6188064</v>
      </c>
      <c r="F68" s="14" t="s">
        <v>38</v>
      </c>
      <c r="G68" s="14" t="s">
        <v>351</v>
      </c>
      <c r="H68" s="18" t="s">
        <v>352</v>
      </c>
      <c r="I68" s="25" t="s">
        <v>124</v>
      </c>
      <c r="J68" s="25">
        <v>7.5</v>
      </c>
      <c r="K68" s="25">
        <v>9</v>
      </c>
      <c r="L68" s="25">
        <v>8</v>
      </c>
      <c r="M68" s="25">
        <v>6.5</v>
      </c>
      <c r="N68" s="25">
        <v>6.5</v>
      </c>
      <c r="O68" s="25"/>
      <c r="P68" s="25"/>
      <c r="Q68" s="25"/>
      <c r="R68" s="25"/>
      <c r="S68" s="35">
        <v>43022</v>
      </c>
      <c r="T68" s="51">
        <v>43344</v>
      </c>
      <c r="U68" s="25"/>
      <c r="V68" s="25"/>
      <c r="W68" s="25" t="s">
        <v>353</v>
      </c>
      <c r="X68" s="25" t="s">
        <v>354</v>
      </c>
      <c r="Y68" s="25"/>
      <c r="Z68" s="25"/>
      <c r="AA68" s="25"/>
      <c r="AB68" s="25"/>
      <c r="AC68" s="25" t="str">
        <f>TRIM(StudentScore[[#This Row],[Student Email]])</f>
        <v>srithpong.udo@student.mahidol.ac.th</v>
      </c>
    </row>
    <row r="69" spans="1:29" ht="27">
      <c r="A69" s="15">
        <v>63</v>
      </c>
      <c r="B69" s="16">
        <f t="shared" si="4"/>
        <v>61</v>
      </c>
      <c r="C69" s="27">
        <f t="shared" si="5"/>
        <v>2021</v>
      </c>
      <c r="D69" s="54"/>
      <c r="E69" s="17">
        <v>6188065</v>
      </c>
      <c r="F69" s="14" t="s">
        <v>117</v>
      </c>
      <c r="G69" s="14" t="s">
        <v>355</v>
      </c>
      <c r="H69" s="18" t="s">
        <v>356</v>
      </c>
      <c r="I69" s="25" t="s">
        <v>48</v>
      </c>
      <c r="J69" s="25">
        <v>920</v>
      </c>
      <c r="K69" s="25">
        <v>490</v>
      </c>
      <c r="L69" s="25">
        <v>430</v>
      </c>
      <c r="M69" s="25"/>
      <c r="N69" s="25"/>
      <c r="O69" s="25"/>
      <c r="P69" s="25"/>
      <c r="Q69" s="25"/>
      <c r="R69" s="25"/>
      <c r="S69" s="35">
        <v>44175</v>
      </c>
      <c r="T69" s="51">
        <v>44166</v>
      </c>
      <c r="U69" s="25"/>
      <c r="V69" s="25"/>
      <c r="W69" s="25" t="s">
        <v>357</v>
      </c>
      <c r="X69" s="25" t="s">
        <v>358</v>
      </c>
      <c r="Y69" s="25"/>
      <c r="Z69" s="25"/>
      <c r="AA69" s="25"/>
      <c r="AB69" s="25"/>
      <c r="AC69" s="25" t="str">
        <f>TRIM(StudentScore[[#This Row],[Student Email]])</f>
        <v>preechaya.wan@student.mahidol.ac.th</v>
      </c>
    </row>
    <row r="70" spans="1:29" ht="27">
      <c r="A70" s="15">
        <v>64</v>
      </c>
      <c r="B70" s="16">
        <f t="shared" si="4"/>
        <v>61</v>
      </c>
      <c r="C70" s="27">
        <f t="shared" si="5"/>
        <v>2021</v>
      </c>
      <c r="D70" s="54"/>
      <c r="E70" s="17">
        <v>6188066</v>
      </c>
      <c r="F70" s="14" t="s">
        <v>38</v>
      </c>
      <c r="G70" s="14" t="s">
        <v>359</v>
      </c>
      <c r="H70" s="18" t="s">
        <v>360</v>
      </c>
      <c r="I70" s="25" t="s">
        <v>102</v>
      </c>
      <c r="J70" s="25">
        <v>93</v>
      </c>
      <c r="K70" s="25"/>
      <c r="L70" s="25"/>
      <c r="M70" s="25"/>
      <c r="N70" s="25"/>
      <c r="O70" s="25"/>
      <c r="P70" s="25"/>
      <c r="Q70" s="25"/>
      <c r="R70" s="25"/>
      <c r="S70" s="25"/>
      <c r="T70" s="51">
        <v>44531</v>
      </c>
      <c r="U70" s="25"/>
      <c r="V70" s="25"/>
      <c r="W70" s="25" t="s">
        <v>361</v>
      </c>
      <c r="X70" s="25" t="s">
        <v>362</v>
      </c>
      <c r="Y70" s="25"/>
      <c r="Z70" s="25"/>
      <c r="AA70" s="25"/>
      <c r="AB70" s="25"/>
      <c r="AC70" s="25" t="str">
        <f>TRIM(StudentScore[[#This Row],[Student Email]])</f>
        <v>phakin.aya@student.mahidol.ac.th</v>
      </c>
    </row>
    <row r="71" spans="1:29" ht="27">
      <c r="A71" s="15">
        <v>65</v>
      </c>
      <c r="B71" s="16">
        <f t="shared" si="4"/>
        <v>61</v>
      </c>
      <c r="C71" s="27">
        <f t="shared" si="5"/>
        <v>2021</v>
      </c>
      <c r="D71" s="54"/>
      <c r="E71" s="17">
        <v>6188067</v>
      </c>
      <c r="F71" s="14" t="s">
        <v>38</v>
      </c>
      <c r="G71" s="14" t="s">
        <v>363</v>
      </c>
      <c r="H71" s="18" t="s">
        <v>364</v>
      </c>
      <c r="I71" s="25" t="s">
        <v>102</v>
      </c>
      <c r="J71" s="25">
        <v>87</v>
      </c>
      <c r="K71" s="25"/>
      <c r="L71" s="25"/>
      <c r="M71" s="25"/>
      <c r="N71" s="25"/>
      <c r="O71" s="25"/>
      <c r="P71" s="25"/>
      <c r="Q71" s="25"/>
      <c r="R71" s="25"/>
      <c r="S71" s="25"/>
      <c r="T71" s="51">
        <v>44348</v>
      </c>
      <c r="U71" s="25"/>
      <c r="V71" s="25"/>
      <c r="W71" s="25" t="s">
        <v>365</v>
      </c>
      <c r="X71" s="25" t="s">
        <v>366</v>
      </c>
      <c r="Y71" s="25"/>
      <c r="Z71" s="25"/>
      <c r="AA71" s="25"/>
      <c r="AB71" s="25"/>
      <c r="AC71" s="25" t="str">
        <f>TRIM(StudentScore[[#This Row],[Student Email]])</f>
        <v>krittipatt.cha@student.mahidol.ac.th</v>
      </c>
    </row>
    <row r="72" spans="1:29" ht="27">
      <c r="A72" s="15">
        <v>66</v>
      </c>
      <c r="B72" s="16">
        <f t="shared" ref="B72:B103" si="6">VALUE(LEFT(E72,2))</f>
        <v>61</v>
      </c>
      <c r="C72" s="27">
        <f t="shared" ref="C72:C103" si="7">VALUE("25"&amp;B72)-543+3</f>
        <v>2021</v>
      </c>
      <c r="D72" s="54"/>
      <c r="E72" s="17">
        <v>6188068</v>
      </c>
      <c r="F72" s="14" t="s">
        <v>38</v>
      </c>
      <c r="G72" s="14" t="s">
        <v>367</v>
      </c>
      <c r="H72" s="18" t="s">
        <v>368</v>
      </c>
      <c r="I72" s="25" t="s">
        <v>48</v>
      </c>
      <c r="J72" s="25">
        <v>755</v>
      </c>
      <c r="K72" s="25">
        <v>395</v>
      </c>
      <c r="L72" s="25">
        <v>360</v>
      </c>
      <c r="M72" s="25"/>
      <c r="N72" s="25"/>
      <c r="O72" s="25"/>
      <c r="P72" s="25"/>
      <c r="Q72" s="25"/>
      <c r="R72" s="25"/>
      <c r="S72" s="35">
        <v>43880</v>
      </c>
      <c r="T72" s="51">
        <v>43862</v>
      </c>
      <c r="U72" s="25"/>
      <c r="V72" s="25"/>
      <c r="W72" s="25" t="s">
        <v>369</v>
      </c>
      <c r="X72" s="25" t="s">
        <v>370</v>
      </c>
      <c r="Y72" s="25"/>
      <c r="Z72" s="25"/>
      <c r="AA72" s="25"/>
      <c r="AB72" s="25"/>
      <c r="AC72" s="25" t="str">
        <f>TRIM(StudentScore[[#This Row],[Student Email]])</f>
        <v>tharit.cha@student.mahidol.ac.th</v>
      </c>
    </row>
    <row r="73" spans="1:29" ht="27">
      <c r="A73" s="15">
        <v>67</v>
      </c>
      <c r="B73" s="16">
        <f t="shared" si="6"/>
        <v>61</v>
      </c>
      <c r="C73" s="27">
        <f t="shared" si="7"/>
        <v>2021</v>
      </c>
      <c r="D73" s="54"/>
      <c r="E73" s="17">
        <v>6188069</v>
      </c>
      <c r="F73" s="14" t="s">
        <v>38</v>
      </c>
      <c r="G73" s="14" t="s">
        <v>371</v>
      </c>
      <c r="H73" s="18" t="s">
        <v>372</v>
      </c>
      <c r="I73" s="25" t="s">
        <v>133</v>
      </c>
      <c r="J73" s="25">
        <v>115</v>
      </c>
      <c r="K73" s="25"/>
      <c r="L73" s="25"/>
      <c r="M73" s="25"/>
      <c r="N73" s="25"/>
      <c r="O73" s="25"/>
      <c r="P73" s="25"/>
      <c r="Q73" s="25"/>
      <c r="R73" s="25"/>
      <c r="S73" s="35">
        <v>44480</v>
      </c>
      <c r="T73" s="51">
        <v>44440</v>
      </c>
      <c r="U73" s="25"/>
      <c r="V73" s="25"/>
      <c r="W73" s="25" t="s">
        <v>373</v>
      </c>
      <c r="X73" s="25" t="s">
        <v>374</v>
      </c>
      <c r="Y73" s="25"/>
      <c r="Z73" s="25"/>
      <c r="AA73" s="25"/>
      <c r="AB73" s="25"/>
      <c r="AC73" s="25" t="str">
        <f>TRIM(StudentScore[[#This Row],[Student Email]])</f>
        <v>chayapon.cha@student.mahidol.ac.th</v>
      </c>
    </row>
    <row r="74" spans="1:29" ht="27">
      <c r="A74" s="15">
        <v>68</v>
      </c>
      <c r="B74" s="16">
        <f t="shared" si="6"/>
        <v>61</v>
      </c>
      <c r="C74" s="27">
        <f t="shared" si="7"/>
        <v>2021</v>
      </c>
      <c r="D74" s="54"/>
      <c r="E74" s="17">
        <v>6188071</v>
      </c>
      <c r="F74" s="14" t="s">
        <v>117</v>
      </c>
      <c r="G74" s="14" t="s">
        <v>375</v>
      </c>
      <c r="H74" s="18" t="s">
        <v>376</v>
      </c>
      <c r="I74" s="25" t="s">
        <v>48</v>
      </c>
      <c r="J74" s="25">
        <v>730</v>
      </c>
      <c r="K74" s="25">
        <v>390</v>
      </c>
      <c r="L74" s="25">
        <v>340</v>
      </c>
      <c r="M74" s="25"/>
      <c r="N74" s="25"/>
      <c r="O74" s="25"/>
      <c r="P74" s="25"/>
      <c r="Q74" s="25"/>
      <c r="R74" s="25"/>
      <c r="S74" s="35">
        <v>43880</v>
      </c>
      <c r="T74" s="51">
        <v>43862</v>
      </c>
      <c r="U74" s="25"/>
      <c r="V74" s="25"/>
      <c r="W74" s="25" t="s">
        <v>377</v>
      </c>
      <c r="X74" s="25" t="s">
        <v>378</v>
      </c>
      <c r="Y74" s="25"/>
      <c r="Z74" s="25"/>
      <c r="AA74" s="25"/>
      <c r="AB74" s="25"/>
      <c r="AC74" s="25" t="str">
        <f>TRIM(StudentScore[[#This Row],[Student Email]])</f>
        <v>benyapha.che@student.mahidol.ac.th</v>
      </c>
    </row>
    <row r="75" spans="1:29" ht="27">
      <c r="A75" s="15">
        <v>69</v>
      </c>
      <c r="B75" s="16">
        <f t="shared" si="6"/>
        <v>61</v>
      </c>
      <c r="C75" s="27">
        <f t="shared" si="7"/>
        <v>2021</v>
      </c>
      <c r="D75" s="54"/>
      <c r="E75" s="17">
        <v>6188072</v>
      </c>
      <c r="F75" s="14" t="s">
        <v>117</v>
      </c>
      <c r="G75" s="14" t="s">
        <v>379</v>
      </c>
      <c r="H75" s="18" t="s">
        <v>380</v>
      </c>
      <c r="I75" s="25" t="s">
        <v>48</v>
      </c>
      <c r="J75" s="25">
        <v>805</v>
      </c>
      <c r="K75" s="25">
        <v>395</v>
      </c>
      <c r="L75" s="25">
        <v>410</v>
      </c>
      <c r="M75" s="25"/>
      <c r="N75" s="25"/>
      <c r="O75" s="25"/>
      <c r="P75" s="25"/>
      <c r="Q75" s="25"/>
      <c r="R75" s="25"/>
      <c r="S75" s="35">
        <v>43880</v>
      </c>
      <c r="T75" s="51">
        <v>43862</v>
      </c>
      <c r="U75" s="25"/>
      <c r="V75" s="25"/>
      <c r="W75" s="25" t="s">
        <v>381</v>
      </c>
      <c r="X75" s="25" t="s">
        <v>382</v>
      </c>
      <c r="Y75" s="25"/>
      <c r="Z75" s="25"/>
      <c r="AA75" s="25"/>
      <c r="AB75" s="25"/>
      <c r="AC75" s="25" t="str">
        <f>TRIM(StudentScore[[#This Row],[Student Email]])</f>
        <v>supitchaya.dre@student.mahidol.ac.th</v>
      </c>
    </row>
    <row r="76" spans="1:29" ht="27">
      <c r="A76" s="15">
        <v>70</v>
      </c>
      <c r="B76" s="16">
        <f t="shared" si="6"/>
        <v>61</v>
      </c>
      <c r="C76" s="27">
        <f t="shared" si="7"/>
        <v>2021</v>
      </c>
      <c r="D76" s="54"/>
      <c r="E76" s="17">
        <v>6188073</v>
      </c>
      <c r="F76" s="14" t="s">
        <v>38</v>
      </c>
      <c r="G76" s="14" t="s">
        <v>383</v>
      </c>
      <c r="H76" s="18" t="s">
        <v>384</v>
      </c>
      <c r="I76" s="25" t="s">
        <v>102</v>
      </c>
      <c r="J76" s="25">
        <v>76</v>
      </c>
      <c r="K76" s="25"/>
      <c r="L76" s="25"/>
      <c r="M76" s="25"/>
      <c r="N76" s="25"/>
      <c r="O76" s="25"/>
      <c r="P76" s="25"/>
      <c r="Q76" s="25"/>
      <c r="R76" s="25"/>
      <c r="S76" s="25"/>
      <c r="T76" s="51">
        <v>44531</v>
      </c>
      <c r="U76" s="25"/>
      <c r="V76" s="25"/>
      <c r="W76" s="25" t="s">
        <v>385</v>
      </c>
      <c r="X76" s="25" t="s">
        <v>386</v>
      </c>
      <c r="Y76" s="25"/>
      <c r="Z76" s="25"/>
      <c r="AA76" s="25"/>
      <c r="AB76" s="25"/>
      <c r="AC76" s="25" t="str">
        <f>TRIM(StudentScore[[#This Row],[Student Email]])</f>
        <v>supawee.foi@student.mahidol.ac.th</v>
      </c>
    </row>
    <row r="77" spans="1:29" ht="27">
      <c r="A77" s="15">
        <v>71</v>
      </c>
      <c r="B77" s="16">
        <f t="shared" si="6"/>
        <v>61</v>
      </c>
      <c r="C77" s="27">
        <f t="shared" si="7"/>
        <v>2021</v>
      </c>
      <c r="D77" s="54"/>
      <c r="E77" s="17">
        <v>6188074</v>
      </c>
      <c r="F77" s="14" t="s">
        <v>117</v>
      </c>
      <c r="G77" s="14" t="s">
        <v>387</v>
      </c>
      <c r="H77" s="18" t="s">
        <v>388</v>
      </c>
      <c r="I77" s="25" t="s">
        <v>48</v>
      </c>
      <c r="J77" s="25">
        <v>910</v>
      </c>
      <c r="K77" s="25">
        <v>485</v>
      </c>
      <c r="L77" s="25">
        <v>425</v>
      </c>
      <c r="M77" s="25"/>
      <c r="N77" s="25"/>
      <c r="O77" s="25"/>
      <c r="P77" s="25"/>
      <c r="Q77" s="25"/>
      <c r="R77" s="25"/>
      <c r="S77" s="35">
        <v>43880</v>
      </c>
      <c r="T77" s="51">
        <v>43862</v>
      </c>
      <c r="U77" s="25"/>
      <c r="V77" s="25"/>
      <c r="W77" s="25" t="s">
        <v>389</v>
      </c>
      <c r="X77" s="25" t="s">
        <v>390</v>
      </c>
      <c r="Y77" s="25"/>
      <c r="Z77" s="25"/>
      <c r="AA77" s="25"/>
      <c r="AB77" s="25"/>
      <c r="AC77" s="25" t="str">
        <f>TRIM(StudentScore[[#This Row],[Student Email]])</f>
        <v>nannaphat.jir@student.mahidol.ac.th</v>
      </c>
    </row>
    <row r="78" spans="1:29" ht="27">
      <c r="A78" s="15">
        <v>72</v>
      </c>
      <c r="B78" s="16">
        <f t="shared" si="6"/>
        <v>61</v>
      </c>
      <c r="C78" s="27">
        <f t="shared" si="7"/>
        <v>2021</v>
      </c>
      <c r="D78" s="54"/>
      <c r="E78" s="17">
        <v>6188075</v>
      </c>
      <c r="F78" s="14" t="s">
        <v>38</v>
      </c>
      <c r="G78" s="14" t="s">
        <v>391</v>
      </c>
      <c r="H78" s="18" t="s">
        <v>392</v>
      </c>
      <c r="I78" s="25" t="s">
        <v>124</v>
      </c>
      <c r="J78" s="25">
        <v>6</v>
      </c>
      <c r="K78" s="25">
        <v>6.5</v>
      </c>
      <c r="L78" s="25">
        <v>6.5</v>
      </c>
      <c r="M78" s="25">
        <v>5.5</v>
      </c>
      <c r="N78" s="25">
        <v>6</v>
      </c>
      <c r="O78" s="25"/>
      <c r="P78" s="25"/>
      <c r="Q78" s="25"/>
      <c r="R78" s="25"/>
      <c r="S78" s="35">
        <v>42903</v>
      </c>
      <c r="T78" s="51">
        <v>43313</v>
      </c>
      <c r="U78" s="25"/>
      <c r="V78" s="25"/>
      <c r="W78" s="25" t="s">
        <v>393</v>
      </c>
      <c r="X78" s="25" t="s">
        <v>394</v>
      </c>
      <c r="Y78" s="25"/>
      <c r="Z78" s="25"/>
      <c r="AA78" s="25"/>
      <c r="AB78" s="25"/>
      <c r="AC78" s="25" t="str">
        <f>TRIM(StudentScore[[#This Row],[Student Email]])</f>
        <v>thanyanit.jon@student.mahidol.ac.th</v>
      </c>
    </row>
    <row r="79" spans="1:29" ht="27">
      <c r="A79" s="15">
        <v>73</v>
      </c>
      <c r="B79" s="16">
        <f t="shared" si="6"/>
        <v>61</v>
      </c>
      <c r="C79" s="27">
        <f t="shared" si="7"/>
        <v>2021</v>
      </c>
      <c r="D79" s="54"/>
      <c r="E79" s="17">
        <v>6188076</v>
      </c>
      <c r="F79" s="14" t="s">
        <v>117</v>
      </c>
      <c r="G79" s="14" t="s">
        <v>395</v>
      </c>
      <c r="H79" s="18" t="s">
        <v>396</v>
      </c>
      <c r="I79" s="25" t="s">
        <v>244</v>
      </c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 t="s">
        <v>397</v>
      </c>
      <c r="X79" s="25" t="s">
        <v>398</v>
      </c>
      <c r="Y79" s="25"/>
      <c r="Z79" s="25"/>
      <c r="AA79" s="25"/>
      <c r="AB79" s="25"/>
      <c r="AC79" s="25" t="str">
        <f>TRIM(StudentScore[[#This Row],[Student Email]])</f>
        <v>pichamol.jun@student.mahidol.ac.th</v>
      </c>
    </row>
    <row r="80" spans="1:29" ht="27">
      <c r="A80" s="15">
        <v>74</v>
      </c>
      <c r="B80" s="16">
        <f t="shared" si="6"/>
        <v>61</v>
      </c>
      <c r="C80" s="27">
        <f t="shared" si="7"/>
        <v>2021</v>
      </c>
      <c r="D80" s="54"/>
      <c r="E80" s="17">
        <v>6188077</v>
      </c>
      <c r="F80" s="14" t="s">
        <v>38</v>
      </c>
      <c r="G80" s="14" t="s">
        <v>399</v>
      </c>
      <c r="H80" s="18" t="s">
        <v>400</v>
      </c>
      <c r="I80" s="25" t="s">
        <v>102</v>
      </c>
      <c r="J80" s="25">
        <v>89</v>
      </c>
      <c r="K80" s="25"/>
      <c r="L80" s="25"/>
      <c r="M80" s="25"/>
      <c r="N80" s="25"/>
      <c r="O80" s="25"/>
      <c r="P80" s="25"/>
      <c r="Q80" s="25"/>
      <c r="R80" s="25"/>
      <c r="S80" s="25"/>
      <c r="T80" s="51">
        <v>44348</v>
      </c>
      <c r="U80" s="25"/>
      <c r="V80" s="25"/>
      <c r="W80" s="25" t="s">
        <v>401</v>
      </c>
      <c r="X80" s="25" t="s">
        <v>402</v>
      </c>
      <c r="Y80" s="25"/>
      <c r="Z80" s="25"/>
      <c r="AA80" s="25"/>
      <c r="AB80" s="25"/>
      <c r="AC80" s="25" t="str">
        <f>TRIM(StudentScore[[#This Row],[Student Email]])</f>
        <v>teekawin.kir@student.mahidol.ac.th</v>
      </c>
    </row>
    <row r="81" spans="1:29" ht="27">
      <c r="A81" s="15">
        <v>75</v>
      </c>
      <c r="B81" s="16">
        <f t="shared" si="6"/>
        <v>61</v>
      </c>
      <c r="C81" s="27">
        <f t="shared" si="7"/>
        <v>2021</v>
      </c>
      <c r="D81" s="54"/>
      <c r="E81" s="17">
        <v>6188078</v>
      </c>
      <c r="F81" s="14" t="s">
        <v>38</v>
      </c>
      <c r="G81" s="14" t="s">
        <v>403</v>
      </c>
      <c r="H81" s="18" t="s">
        <v>404</v>
      </c>
      <c r="I81" s="25" t="s">
        <v>102</v>
      </c>
      <c r="J81" s="25">
        <v>75</v>
      </c>
      <c r="K81" s="25"/>
      <c r="L81" s="25"/>
      <c r="M81" s="25"/>
      <c r="N81" s="25"/>
      <c r="O81" s="25"/>
      <c r="P81" s="25"/>
      <c r="Q81" s="25"/>
      <c r="R81" s="25"/>
      <c r="S81" s="25"/>
      <c r="T81" s="51">
        <v>44531</v>
      </c>
      <c r="U81" s="25"/>
      <c r="V81" s="25"/>
      <c r="W81" s="25" t="s">
        <v>405</v>
      </c>
      <c r="X81" s="25" t="s">
        <v>406</v>
      </c>
      <c r="Y81" s="25"/>
      <c r="Z81" s="25"/>
      <c r="AA81" s="25"/>
      <c r="AB81" s="25"/>
      <c r="AC81" s="25" t="str">
        <f>TRIM(StudentScore[[#This Row],[Student Email]])</f>
        <v>thanapon.lua@student.mahidol.ac.th</v>
      </c>
    </row>
    <row r="82" spans="1:29" ht="27">
      <c r="A82" s="15">
        <v>76</v>
      </c>
      <c r="B82" s="16">
        <f t="shared" si="6"/>
        <v>61</v>
      </c>
      <c r="C82" s="27">
        <f t="shared" si="7"/>
        <v>2021</v>
      </c>
      <c r="D82" s="54"/>
      <c r="E82" s="17">
        <v>6188079</v>
      </c>
      <c r="F82" s="14" t="s">
        <v>38</v>
      </c>
      <c r="G82" s="14" t="s">
        <v>407</v>
      </c>
      <c r="H82" s="18" t="s">
        <v>408</v>
      </c>
      <c r="I82" s="25" t="s">
        <v>244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 t="s">
        <v>409</v>
      </c>
      <c r="X82" s="25" t="s">
        <v>410</v>
      </c>
      <c r="Y82" s="25"/>
      <c r="Z82" s="25"/>
      <c r="AA82" s="25"/>
      <c r="AB82" s="25"/>
      <c r="AC82" s="25" t="str">
        <f>TRIM(StudentScore[[#This Row],[Student Email]])</f>
        <v>trin.nuc@student.mahidol.ac.th</v>
      </c>
    </row>
    <row r="83" spans="1:29" ht="27">
      <c r="A83" s="15">
        <v>77</v>
      </c>
      <c r="B83" s="16">
        <f t="shared" si="6"/>
        <v>61</v>
      </c>
      <c r="C83" s="27">
        <f t="shared" si="7"/>
        <v>2021</v>
      </c>
      <c r="D83" s="54"/>
      <c r="E83" s="17">
        <v>6188080</v>
      </c>
      <c r="F83" s="14" t="s">
        <v>38</v>
      </c>
      <c r="G83" s="14" t="s">
        <v>411</v>
      </c>
      <c r="H83" s="18" t="s">
        <v>412</v>
      </c>
      <c r="I83" s="25" t="s">
        <v>102</v>
      </c>
      <c r="J83" s="25">
        <v>94</v>
      </c>
      <c r="K83" s="25"/>
      <c r="L83" s="25"/>
      <c r="M83" s="25"/>
      <c r="N83" s="25"/>
      <c r="O83" s="25"/>
      <c r="P83" s="25"/>
      <c r="Q83" s="25"/>
      <c r="R83" s="25"/>
      <c r="S83" s="25"/>
      <c r="T83" s="51">
        <v>44348</v>
      </c>
      <c r="U83" s="25"/>
      <c r="V83" s="25"/>
      <c r="W83" s="25" t="s">
        <v>413</v>
      </c>
      <c r="X83" s="25" t="s">
        <v>414</v>
      </c>
      <c r="Y83" s="25"/>
      <c r="Z83" s="25"/>
      <c r="AA83" s="25"/>
      <c r="AB83" s="25"/>
      <c r="AC83" s="25" t="str">
        <f>TRIM(StudentScore[[#This Row],[Student Email]])</f>
        <v>sarun.jun@student.mahidol.ac.th</v>
      </c>
    </row>
    <row r="84" spans="1:29" ht="27">
      <c r="A84" s="15">
        <v>78</v>
      </c>
      <c r="B84" s="16">
        <f t="shared" si="6"/>
        <v>61</v>
      </c>
      <c r="C84" s="27">
        <f t="shared" si="7"/>
        <v>2021</v>
      </c>
      <c r="D84" s="54"/>
      <c r="E84" s="17">
        <v>6188081</v>
      </c>
      <c r="F84" s="14" t="s">
        <v>38</v>
      </c>
      <c r="G84" s="14" t="s">
        <v>415</v>
      </c>
      <c r="H84" s="18" t="s">
        <v>416</v>
      </c>
      <c r="I84" s="25" t="s">
        <v>41</v>
      </c>
      <c r="J84" s="25">
        <v>527</v>
      </c>
      <c r="K84" s="25">
        <v>57</v>
      </c>
      <c r="L84" s="25">
        <v>53</v>
      </c>
      <c r="M84" s="25">
        <v>48</v>
      </c>
      <c r="N84" s="25"/>
      <c r="O84" s="25"/>
      <c r="P84" s="25"/>
      <c r="Q84" s="25"/>
      <c r="R84" s="25"/>
      <c r="S84" s="35">
        <v>44376</v>
      </c>
      <c r="T84" s="51">
        <v>44378</v>
      </c>
      <c r="U84" s="25"/>
      <c r="V84" s="25"/>
      <c r="W84" s="25" t="s">
        <v>417</v>
      </c>
      <c r="X84" s="25" t="s">
        <v>418</v>
      </c>
      <c r="Y84" s="25"/>
      <c r="Z84" s="25"/>
      <c r="AA84" s="25"/>
      <c r="AB84" s="25"/>
      <c r="AC84" s="25" t="str">
        <f>TRIM(StudentScore[[#This Row],[Student Email]])</f>
        <v>sarit.opa@student.mahidol.ac.th</v>
      </c>
    </row>
    <row r="85" spans="1:29" ht="27">
      <c r="A85" s="15">
        <v>79</v>
      </c>
      <c r="B85" s="16">
        <f t="shared" si="6"/>
        <v>61</v>
      </c>
      <c r="C85" s="27">
        <f t="shared" si="7"/>
        <v>2021</v>
      </c>
      <c r="D85" s="54"/>
      <c r="E85" s="17">
        <v>6188082</v>
      </c>
      <c r="F85" s="14" t="s">
        <v>38</v>
      </c>
      <c r="G85" s="14" t="s">
        <v>419</v>
      </c>
      <c r="H85" s="18" t="s">
        <v>420</v>
      </c>
      <c r="I85" s="25" t="s">
        <v>102</v>
      </c>
      <c r="J85" s="25">
        <v>76</v>
      </c>
      <c r="K85" s="25"/>
      <c r="L85" s="25"/>
      <c r="M85" s="25"/>
      <c r="N85" s="25"/>
      <c r="O85" s="25"/>
      <c r="P85" s="25"/>
      <c r="Q85" s="25"/>
      <c r="R85" s="25"/>
      <c r="S85" s="25"/>
      <c r="T85" s="51">
        <v>44531</v>
      </c>
      <c r="U85" s="25"/>
      <c r="V85" s="25"/>
      <c r="W85" s="25" t="s">
        <v>421</v>
      </c>
      <c r="X85" s="25" t="s">
        <v>422</v>
      </c>
      <c r="Y85" s="25"/>
      <c r="Z85" s="25"/>
      <c r="AA85" s="25"/>
      <c r="AB85" s="25"/>
      <c r="AC85" s="25" t="str">
        <f>TRIM(StudentScore[[#This Row],[Student Email]])</f>
        <v>paramin.pha@student.mahidol.ac.th</v>
      </c>
    </row>
    <row r="86" spans="1:29" ht="27">
      <c r="A86" s="15">
        <v>80</v>
      </c>
      <c r="B86" s="16">
        <f t="shared" si="6"/>
        <v>61</v>
      </c>
      <c r="C86" s="27">
        <f t="shared" si="7"/>
        <v>2021</v>
      </c>
      <c r="D86" s="54"/>
      <c r="E86" s="17">
        <v>6188083</v>
      </c>
      <c r="F86" s="14" t="s">
        <v>38</v>
      </c>
      <c r="G86" s="14" t="s">
        <v>423</v>
      </c>
      <c r="H86" s="18" t="s">
        <v>424</v>
      </c>
      <c r="I86" s="25" t="s">
        <v>48</v>
      </c>
      <c r="J86" s="25">
        <v>905</v>
      </c>
      <c r="K86" s="25">
        <v>495</v>
      </c>
      <c r="L86" s="25">
        <v>410</v>
      </c>
      <c r="M86" s="25"/>
      <c r="N86" s="25"/>
      <c r="O86" s="25"/>
      <c r="P86" s="25"/>
      <c r="Q86" s="25"/>
      <c r="R86" s="25"/>
      <c r="S86" s="35">
        <v>42964</v>
      </c>
      <c r="T86" s="51">
        <v>43678</v>
      </c>
      <c r="U86" s="25"/>
      <c r="V86" s="25"/>
      <c r="W86" s="25" t="s">
        <v>425</v>
      </c>
      <c r="X86" s="25" t="s">
        <v>426</v>
      </c>
      <c r="Y86" s="25"/>
      <c r="Z86" s="25"/>
      <c r="AA86" s="25"/>
      <c r="AB86" s="25"/>
      <c r="AC86" s="25" t="str">
        <f>TRIM(StudentScore[[#This Row],[Student Email]])</f>
        <v>kunthorn.pho@student.mahidol.ac.th</v>
      </c>
    </row>
    <row r="87" spans="1:29" ht="27">
      <c r="A87" s="15">
        <v>81</v>
      </c>
      <c r="B87" s="16">
        <f t="shared" si="6"/>
        <v>61</v>
      </c>
      <c r="C87" s="27">
        <f t="shared" si="7"/>
        <v>2021</v>
      </c>
      <c r="D87" s="54"/>
      <c r="E87" s="17">
        <v>6188084</v>
      </c>
      <c r="F87" s="14" t="s">
        <v>117</v>
      </c>
      <c r="G87" s="14" t="s">
        <v>427</v>
      </c>
      <c r="H87" s="18" t="s">
        <v>428</v>
      </c>
      <c r="I87" s="25" t="s">
        <v>48</v>
      </c>
      <c r="J87" s="25">
        <v>845</v>
      </c>
      <c r="K87" s="25">
        <v>470</v>
      </c>
      <c r="L87" s="25">
        <v>375</v>
      </c>
      <c r="M87" s="25"/>
      <c r="N87" s="25"/>
      <c r="O87" s="25"/>
      <c r="P87" s="25"/>
      <c r="Q87" s="25"/>
      <c r="R87" s="25"/>
      <c r="S87" s="35">
        <v>43880</v>
      </c>
      <c r="T87" s="51">
        <v>43891</v>
      </c>
      <c r="U87" s="25"/>
      <c r="V87" s="25"/>
      <c r="W87" s="25" t="s">
        <v>429</v>
      </c>
      <c r="X87" s="25" t="s">
        <v>430</v>
      </c>
      <c r="Y87" s="25"/>
      <c r="Z87" s="25"/>
      <c r="AA87" s="25"/>
      <c r="AB87" s="25"/>
      <c r="AC87" s="25" t="str">
        <f>TRIM(StudentScore[[#This Row],[Student Email]])</f>
        <v>ananya.pin@student.mahidol.ac.th</v>
      </c>
    </row>
    <row r="88" spans="1:29" ht="27">
      <c r="A88" s="15">
        <v>82</v>
      </c>
      <c r="B88" s="16">
        <f t="shared" si="6"/>
        <v>61</v>
      </c>
      <c r="C88" s="27">
        <f t="shared" si="7"/>
        <v>2021</v>
      </c>
      <c r="D88" s="54"/>
      <c r="E88" s="17">
        <v>6188085</v>
      </c>
      <c r="F88" s="14" t="s">
        <v>38</v>
      </c>
      <c r="G88" s="14" t="s">
        <v>431</v>
      </c>
      <c r="H88" s="18" t="s">
        <v>432</v>
      </c>
      <c r="I88" s="25" t="s">
        <v>102</v>
      </c>
      <c r="J88" s="25">
        <v>81</v>
      </c>
      <c r="K88" s="25"/>
      <c r="L88" s="25"/>
      <c r="M88" s="25"/>
      <c r="N88" s="25"/>
      <c r="O88" s="25"/>
      <c r="P88" s="25"/>
      <c r="Q88" s="25"/>
      <c r="R88" s="25"/>
      <c r="S88" s="25"/>
      <c r="T88" s="51">
        <v>44348</v>
      </c>
      <c r="U88" s="25"/>
      <c r="V88" s="25"/>
      <c r="W88" s="25" t="s">
        <v>433</v>
      </c>
      <c r="X88" s="25" t="s">
        <v>434</v>
      </c>
      <c r="Y88" s="25"/>
      <c r="Z88" s="25"/>
      <c r="AA88" s="25"/>
      <c r="AB88" s="25"/>
      <c r="AC88" s="25" t="str">
        <f>TRIM(StudentScore[[#This Row],[Student Email]])</f>
        <v>chotivit.pit@student.mahidol.ac.th</v>
      </c>
    </row>
    <row r="89" spans="1:29" ht="27">
      <c r="A89" s="15">
        <v>83</v>
      </c>
      <c r="B89" s="16">
        <f t="shared" si="6"/>
        <v>61</v>
      </c>
      <c r="C89" s="27">
        <f t="shared" si="7"/>
        <v>2021</v>
      </c>
      <c r="D89" s="54"/>
      <c r="E89" s="17">
        <v>6188086</v>
      </c>
      <c r="F89" s="14" t="s">
        <v>38</v>
      </c>
      <c r="G89" s="14" t="s">
        <v>435</v>
      </c>
      <c r="H89" s="18" t="s">
        <v>436</v>
      </c>
      <c r="I89" s="25" t="s">
        <v>102</v>
      </c>
      <c r="J89" s="25">
        <v>83</v>
      </c>
      <c r="K89" s="25"/>
      <c r="L89" s="25"/>
      <c r="M89" s="25"/>
      <c r="N89" s="25"/>
      <c r="O89" s="25"/>
      <c r="P89" s="25"/>
      <c r="Q89" s="25"/>
      <c r="R89" s="25"/>
      <c r="S89" s="25"/>
      <c r="T89" s="51">
        <v>44348</v>
      </c>
      <c r="U89" s="25"/>
      <c r="V89" s="25"/>
      <c r="W89" s="25" t="s">
        <v>437</v>
      </c>
      <c r="X89" s="25" t="s">
        <v>438</v>
      </c>
      <c r="Y89" s="25"/>
      <c r="Z89" s="25"/>
      <c r="AA89" s="25"/>
      <c r="AB89" s="25"/>
      <c r="AC89" s="25" t="str">
        <f>TRIM(StudentScore[[#This Row],[Student Email]])</f>
        <v>kittikorn.kee@student.mahidol.ac.th</v>
      </c>
    </row>
    <row r="90" spans="1:29" ht="27">
      <c r="A90" s="15">
        <v>84</v>
      </c>
      <c r="B90" s="16">
        <f t="shared" si="6"/>
        <v>61</v>
      </c>
      <c r="C90" s="27">
        <f t="shared" si="7"/>
        <v>2021</v>
      </c>
      <c r="D90" s="54"/>
      <c r="E90" s="17">
        <v>6188088</v>
      </c>
      <c r="F90" s="14" t="s">
        <v>117</v>
      </c>
      <c r="G90" s="14" t="s">
        <v>439</v>
      </c>
      <c r="H90" s="18" t="s">
        <v>440</v>
      </c>
      <c r="I90" s="25" t="s">
        <v>102</v>
      </c>
      <c r="J90" s="25">
        <v>89</v>
      </c>
      <c r="K90" s="25"/>
      <c r="L90" s="25"/>
      <c r="M90" s="25"/>
      <c r="N90" s="25"/>
      <c r="O90" s="25"/>
      <c r="P90" s="25"/>
      <c r="Q90" s="25"/>
      <c r="R90" s="25"/>
      <c r="S90" s="25"/>
      <c r="T90" s="51">
        <v>44348</v>
      </c>
      <c r="U90" s="25"/>
      <c r="V90" s="25"/>
      <c r="W90" s="25" t="s">
        <v>441</v>
      </c>
      <c r="X90" s="25" t="s">
        <v>442</v>
      </c>
      <c r="Y90" s="25"/>
      <c r="Z90" s="25"/>
      <c r="AA90" s="25"/>
      <c r="AB90" s="25"/>
      <c r="AC90" s="25" t="str">
        <f>TRIM(StudentScore[[#This Row],[Student Email]])</f>
        <v>nonglak.rat@student.mahidol.ac.th</v>
      </c>
    </row>
    <row r="91" spans="1:29" ht="27">
      <c r="A91" s="15">
        <v>85</v>
      </c>
      <c r="B91" s="16">
        <f t="shared" si="6"/>
        <v>61</v>
      </c>
      <c r="C91" s="27">
        <f t="shared" si="7"/>
        <v>2021</v>
      </c>
      <c r="D91" s="54"/>
      <c r="E91" s="17">
        <v>6188089</v>
      </c>
      <c r="F91" s="14" t="s">
        <v>117</v>
      </c>
      <c r="G91" s="14" t="s">
        <v>443</v>
      </c>
      <c r="H91" s="18" t="s">
        <v>444</v>
      </c>
      <c r="I91" s="25" t="s">
        <v>102</v>
      </c>
      <c r="J91" s="25">
        <v>81</v>
      </c>
      <c r="K91" s="25"/>
      <c r="L91" s="25"/>
      <c r="M91" s="25"/>
      <c r="N91" s="25"/>
      <c r="O91" s="25"/>
      <c r="P91" s="25"/>
      <c r="Q91" s="25"/>
      <c r="R91" s="25"/>
      <c r="S91" s="25"/>
      <c r="T91" s="51">
        <v>44348</v>
      </c>
      <c r="U91" s="25"/>
      <c r="V91" s="25"/>
      <c r="W91" s="25" t="s">
        <v>445</v>
      </c>
      <c r="X91" s="25" t="s">
        <v>446</v>
      </c>
      <c r="Y91" s="25"/>
      <c r="Z91" s="25"/>
      <c r="AA91" s="25"/>
      <c r="AB91" s="25"/>
      <c r="AC91" s="25" t="str">
        <f>TRIM(StudentScore[[#This Row],[Student Email]])</f>
        <v>nattawipa.sae@student.mahidol.ac.th</v>
      </c>
    </row>
    <row r="92" spans="1:29" ht="27">
      <c r="A92" s="15">
        <v>86</v>
      </c>
      <c r="B92" s="16">
        <f t="shared" si="6"/>
        <v>61</v>
      </c>
      <c r="C92" s="27">
        <f t="shared" si="7"/>
        <v>2021</v>
      </c>
      <c r="D92" s="54"/>
      <c r="E92" s="17">
        <v>6188090</v>
      </c>
      <c r="F92" s="14" t="s">
        <v>38</v>
      </c>
      <c r="G92" s="14" t="s">
        <v>447</v>
      </c>
      <c r="H92" s="18" t="s">
        <v>448</v>
      </c>
      <c r="I92" s="25" t="s">
        <v>102</v>
      </c>
      <c r="J92" s="25">
        <v>78</v>
      </c>
      <c r="K92" s="25"/>
      <c r="L92" s="25"/>
      <c r="M92" s="25"/>
      <c r="N92" s="25"/>
      <c r="O92" s="25"/>
      <c r="P92" s="25"/>
      <c r="Q92" s="25"/>
      <c r="R92" s="25"/>
      <c r="S92" s="25"/>
      <c r="T92" s="51">
        <v>44348</v>
      </c>
      <c r="U92" s="25"/>
      <c r="V92" s="25"/>
      <c r="W92" s="25" t="s">
        <v>449</v>
      </c>
      <c r="X92" s="25" t="s">
        <v>450</v>
      </c>
      <c r="Y92" s="25"/>
      <c r="Z92" s="25"/>
      <c r="AA92" s="25"/>
      <c r="AB92" s="25"/>
      <c r="AC92" s="25" t="str">
        <f>TRIM(StudentScore[[#This Row],[Student Email]])</f>
        <v>napat.sic@student.mahidol.ac.th</v>
      </c>
    </row>
    <row r="93" spans="1:29" ht="27">
      <c r="A93" s="15">
        <v>87</v>
      </c>
      <c r="B93" s="16">
        <f t="shared" si="6"/>
        <v>61</v>
      </c>
      <c r="C93" s="27">
        <f t="shared" si="7"/>
        <v>2021</v>
      </c>
      <c r="D93" s="54"/>
      <c r="E93" s="17">
        <v>6188091</v>
      </c>
      <c r="F93" s="14" t="s">
        <v>117</v>
      </c>
      <c r="G93" s="14" t="s">
        <v>451</v>
      </c>
      <c r="H93" s="18" t="s">
        <v>452</v>
      </c>
      <c r="I93" s="25" t="s">
        <v>102</v>
      </c>
      <c r="J93" s="25">
        <v>75</v>
      </c>
      <c r="K93" s="25"/>
      <c r="L93" s="25"/>
      <c r="M93" s="25"/>
      <c r="N93" s="25"/>
      <c r="O93" s="25"/>
      <c r="P93" s="25"/>
      <c r="Q93" s="25"/>
      <c r="R93" s="25"/>
      <c r="S93" s="25"/>
      <c r="T93" s="51">
        <v>44348</v>
      </c>
      <c r="U93" s="25"/>
      <c r="V93" s="25"/>
      <c r="W93" s="25" t="s">
        <v>453</v>
      </c>
      <c r="X93" s="25" t="s">
        <v>454</v>
      </c>
      <c r="Y93" s="25"/>
      <c r="Z93" s="25"/>
      <c r="AA93" s="25"/>
      <c r="AB93" s="25"/>
      <c r="AC93" s="25" t="str">
        <f>TRIM(StudentScore[[#This Row],[Student Email]])</f>
        <v>kamupsorn.san@student.mahidol.ac.th</v>
      </c>
    </row>
    <row r="94" spans="1:29" ht="27">
      <c r="A94" s="15">
        <v>88</v>
      </c>
      <c r="B94" s="16">
        <f t="shared" si="6"/>
        <v>61</v>
      </c>
      <c r="C94" s="27">
        <f t="shared" si="7"/>
        <v>2021</v>
      </c>
      <c r="D94" s="54"/>
      <c r="E94" s="17">
        <v>6188092</v>
      </c>
      <c r="F94" s="14" t="s">
        <v>38</v>
      </c>
      <c r="G94" s="14" t="s">
        <v>455</v>
      </c>
      <c r="H94" s="18" t="s">
        <v>456</v>
      </c>
      <c r="I94" s="25" t="s">
        <v>102</v>
      </c>
      <c r="J94" s="25">
        <v>85</v>
      </c>
      <c r="K94" s="25"/>
      <c r="L94" s="25"/>
      <c r="M94" s="25"/>
      <c r="N94" s="25"/>
      <c r="O94" s="25"/>
      <c r="P94" s="25"/>
      <c r="Q94" s="25"/>
      <c r="R94" s="25"/>
      <c r="S94" s="25"/>
      <c r="T94" s="51">
        <v>44348</v>
      </c>
      <c r="U94" s="25"/>
      <c r="V94" s="25"/>
      <c r="W94" s="25" t="s">
        <v>457</v>
      </c>
      <c r="X94" s="25" t="s">
        <v>458</v>
      </c>
      <c r="Y94" s="25"/>
      <c r="Z94" s="25"/>
      <c r="AA94" s="25"/>
      <c r="AB94" s="25"/>
      <c r="AC94" s="25" t="str">
        <f>TRIM(StudentScore[[#This Row],[Student Email]])</f>
        <v>kongpop.som@student.mahidol.ac.th</v>
      </c>
    </row>
    <row r="95" spans="1:29" ht="27">
      <c r="A95" s="15">
        <v>89</v>
      </c>
      <c r="B95" s="16">
        <f t="shared" si="6"/>
        <v>61</v>
      </c>
      <c r="C95" s="27">
        <f t="shared" si="7"/>
        <v>2021</v>
      </c>
      <c r="D95" s="54"/>
      <c r="E95" s="17">
        <v>6188093</v>
      </c>
      <c r="F95" s="14" t="s">
        <v>38</v>
      </c>
      <c r="G95" s="14" t="s">
        <v>459</v>
      </c>
      <c r="H95" s="18" t="s">
        <v>460</v>
      </c>
      <c r="I95" s="25" t="s">
        <v>48</v>
      </c>
      <c r="J95" s="25">
        <v>625</v>
      </c>
      <c r="K95" s="25">
        <v>335</v>
      </c>
      <c r="L95" s="25">
        <v>290</v>
      </c>
      <c r="M95" s="25"/>
      <c r="N95" s="25"/>
      <c r="O95" s="25"/>
      <c r="P95" s="25"/>
      <c r="Q95" s="25"/>
      <c r="R95" s="25"/>
      <c r="S95" s="35">
        <v>43880</v>
      </c>
      <c r="T95" s="51">
        <v>43891</v>
      </c>
      <c r="U95" s="25"/>
      <c r="V95" s="25"/>
      <c r="W95" s="25" t="s">
        <v>461</v>
      </c>
      <c r="X95" s="25" t="s">
        <v>462</v>
      </c>
      <c r="Y95" s="25"/>
      <c r="Z95" s="25"/>
      <c r="AA95" s="25"/>
      <c r="AB95" s="25"/>
      <c r="AC95" s="25" t="str">
        <f>TRIM(StudentScore[[#This Row],[Student Email]])</f>
        <v>nattapong.son@student.mahidol.ac.th</v>
      </c>
    </row>
    <row r="96" spans="1:29" ht="27">
      <c r="A96" s="15">
        <v>90</v>
      </c>
      <c r="B96" s="16">
        <f t="shared" si="6"/>
        <v>61</v>
      </c>
      <c r="C96" s="27">
        <f t="shared" si="7"/>
        <v>2021</v>
      </c>
      <c r="D96" s="54"/>
      <c r="E96" s="17">
        <v>6188094</v>
      </c>
      <c r="F96" s="14" t="s">
        <v>117</v>
      </c>
      <c r="G96" s="14" t="s">
        <v>463</v>
      </c>
      <c r="H96" s="18" t="s">
        <v>464</v>
      </c>
      <c r="I96" s="25" t="s">
        <v>244</v>
      </c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 t="s">
        <v>465</v>
      </c>
      <c r="X96" s="25" t="s">
        <v>466</v>
      </c>
      <c r="Y96" s="25"/>
      <c r="Z96" s="25"/>
      <c r="AA96" s="25"/>
      <c r="AB96" s="25"/>
      <c r="AC96" s="25" t="str">
        <f>TRIM(StudentScore[[#This Row],[Student Email]])</f>
        <v>pakaphorn.vit@student.mahidol.ac.th</v>
      </c>
    </row>
    <row r="97" spans="1:29" ht="27">
      <c r="A97" s="15">
        <v>91</v>
      </c>
      <c r="B97" s="16">
        <f t="shared" si="6"/>
        <v>61</v>
      </c>
      <c r="C97" s="27">
        <f t="shared" si="7"/>
        <v>2021</v>
      </c>
      <c r="D97" s="54"/>
      <c r="E97" s="17">
        <v>6188095</v>
      </c>
      <c r="F97" s="14" t="s">
        <v>117</v>
      </c>
      <c r="G97" s="14" t="s">
        <v>467</v>
      </c>
      <c r="H97" s="18" t="s">
        <v>468</v>
      </c>
      <c r="I97" s="25" t="s">
        <v>133</v>
      </c>
      <c r="J97" s="25">
        <v>90</v>
      </c>
      <c r="K97" s="25"/>
      <c r="L97" s="25"/>
      <c r="M97" s="25"/>
      <c r="N97" s="25"/>
      <c r="O97" s="25"/>
      <c r="P97" s="25"/>
      <c r="Q97" s="25"/>
      <c r="R97" s="25"/>
      <c r="S97" s="35">
        <v>44352</v>
      </c>
      <c r="T97" s="51">
        <v>44348</v>
      </c>
      <c r="U97" s="25"/>
      <c r="V97" s="25"/>
      <c r="W97" s="25" t="s">
        <v>469</v>
      </c>
      <c r="X97" s="25" t="s">
        <v>470</v>
      </c>
      <c r="Y97" s="25"/>
      <c r="Z97" s="25"/>
      <c r="AA97" s="25"/>
      <c r="AB97" s="25"/>
      <c r="AC97" s="25" t="str">
        <f>TRIM(StudentScore[[#This Row],[Student Email]])</f>
        <v>tanyalak.sra@student.mahidol.ac.th</v>
      </c>
    </row>
    <row r="98" spans="1:29" ht="27">
      <c r="A98" s="15">
        <v>92</v>
      </c>
      <c r="B98" s="16">
        <f t="shared" si="6"/>
        <v>61</v>
      </c>
      <c r="C98" s="27">
        <f t="shared" si="7"/>
        <v>2021</v>
      </c>
      <c r="D98" s="54"/>
      <c r="E98" s="17">
        <v>6188096</v>
      </c>
      <c r="F98" s="14" t="s">
        <v>117</v>
      </c>
      <c r="G98" s="14" t="s">
        <v>471</v>
      </c>
      <c r="H98" s="18" t="s">
        <v>472</v>
      </c>
      <c r="I98" s="25" t="s">
        <v>124</v>
      </c>
      <c r="J98" s="25">
        <v>6</v>
      </c>
      <c r="K98" s="25">
        <v>6</v>
      </c>
      <c r="L98" s="25">
        <v>5</v>
      </c>
      <c r="M98" s="25">
        <v>5.5</v>
      </c>
      <c r="N98" s="25">
        <v>6.5</v>
      </c>
      <c r="O98" s="25"/>
      <c r="P98" s="25"/>
      <c r="Q98" s="25"/>
      <c r="R98" s="25"/>
      <c r="S98" s="35">
        <v>43013</v>
      </c>
      <c r="T98" s="51">
        <v>43313</v>
      </c>
      <c r="U98" s="25"/>
      <c r="V98" s="25"/>
      <c r="W98" s="25" t="s">
        <v>473</v>
      </c>
      <c r="X98" s="25" t="s">
        <v>474</v>
      </c>
      <c r="Y98" s="25"/>
      <c r="Z98" s="25"/>
      <c r="AA98" s="25"/>
      <c r="AB98" s="25"/>
      <c r="AC98" s="25" t="str">
        <f>TRIM(StudentScore[[#This Row],[Student Email]])</f>
        <v>warangkhana.src@student.mahidol.ac.th</v>
      </c>
    </row>
    <row r="99" spans="1:29" ht="27">
      <c r="A99" s="15">
        <v>93</v>
      </c>
      <c r="B99" s="16">
        <f t="shared" si="6"/>
        <v>61</v>
      </c>
      <c r="C99" s="27">
        <f t="shared" si="7"/>
        <v>2021</v>
      </c>
      <c r="D99" s="54"/>
      <c r="E99" s="17">
        <v>6188097</v>
      </c>
      <c r="F99" s="14" t="s">
        <v>38</v>
      </c>
      <c r="G99" s="14" t="s">
        <v>475</v>
      </c>
      <c r="H99" s="18" t="s">
        <v>476</v>
      </c>
      <c r="I99" s="25" t="s">
        <v>244</v>
      </c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 t="s">
        <v>477</v>
      </c>
      <c r="X99" s="25" t="s">
        <v>478</v>
      </c>
      <c r="Y99" s="25"/>
      <c r="Z99" s="25"/>
      <c r="AA99" s="25"/>
      <c r="AB99" s="25"/>
      <c r="AC99" s="25" t="str">
        <f>TRIM(StudentScore[[#This Row],[Student Email]])</f>
        <v>warakron.sri@student.mahidol.ac.th</v>
      </c>
    </row>
    <row r="100" spans="1:29" ht="27">
      <c r="A100" s="15">
        <v>94</v>
      </c>
      <c r="B100" s="16">
        <f t="shared" si="6"/>
        <v>61</v>
      </c>
      <c r="C100" s="27">
        <f t="shared" si="7"/>
        <v>2021</v>
      </c>
      <c r="D100" s="54"/>
      <c r="E100" s="17">
        <v>6188098</v>
      </c>
      <c r="F100" s="14" t="s">
        <v>38</v>
      </c>
      <c r="G100" s="14" t="s">
        <v>479</v>
      </c>
      <c r="H100" s="18" t="s">
        <v>480</v>
      </c>
      <c r="I100" s="25" t="s">
        <v>244</v>
      </c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 t="s">
        <v>481</v>
      </c>
      <c r="X100" s="25" t="s">
        <v>482</v>
      </c>
      <c r="Y100" s="25"/>
      <c r="Z100" s="25"/>
      <c r="AA100" s="25"/>
      <c r="AB100" s="25"/>
      <c r="AC100" s="25" t="str">
        <f>TRIM(StudentScore[[#This Row],[Student Email]])</f>
        <v>kanitin.yue@student.mahidol.ac.th</v>
      </c>
    </row>
    <row r="101" spans="1:29" ht="27">
      <c r="A101" s="15">
        <v>95</v>
      </c>
      <c r="B101" s="16">
        <f t="shared" si="6"/>
        <v>61</v>
      </c>
      <c r="C101" s="27">
        <f t="shared" si="7"/>
        <v>2021</v>
      </c>
      <c r="D101" s="54"/>
      <c r="E101" s="17">
        <v>6188100</v>
      </c>
      <c r="F101" s="14" t="s">
        <v>117</v>
      </c>
      <c r="G101" s="14" t="s">
        <v>483</v>
      </c>
      <c r="H101" s="18" t="s">
        <v>484</v>
      </c>
      <c r="I101" s="25" t="s">
        <v>102</v>
      </c>
      <c r="J101" s="25">
        <v>91</v>
      </c>
      <c r="K101" s="25"/>
      <c r="L101" s="25"/>
      <c r="M101" s="25"/>
      <c r="N101" s="25"/>
      <c r="O101" s="25"/>
      <c r="P101" s="25"/>
      <c r="Q101" s="25"/>
      <c r="R101" s="25"/>
      <c r="S101" s="25"/>
      <c r="T101" s="51">
        <v>44348</v>
      </c>
      <c r="U101" s="25"/>
      <c r="V101" s="25"/>
      <c r="W101" s="25" t="s">
        <v>485</v>
      </c>
      <c r="X101" s="25" t="s">
        <v>486</v>
      </c>
      <c r="Y101" s="25"/>
      <c r="Z101" s="25"/>
      <c r="AA101" s="25"/>
      <c r="AB101" s="25"/>
      <c r="AC101" s="25" t="str">
        <f>TRIM(StudentScore[[#This Row],[Student Email]])</f>
        <v>maytaporn.pin@student.mahidol.ac.th</v>
      </c>
    </row>
    <row r="102" spans="1:29" ht="27">
      <c r="A102" s="15">
        <v>96</v>
      </c>
      <c r="B102" s="16">
        <f t="shared" si="6"/>
        <v>61</v>
      </c>
      <c r="C102" s="27">
        <f t="shared" si="7"/>
        <v>2021</v>
      </c>
      <c r="D102" s="54"/>
      <c r="E102" s="17">
        <v>6188102</v>
      </c>
      <c r="F102" s="14" t="s">
        <v>38</v>
      </c>
      <c r="G102" s="14" t="s">
        <v>487</v>
      </c>
      <c r="H102" s="18" t="s">
        <v>488</v>
      </c>
      <c r="I102" s="25" t="s">
        <v>41</v>
      </c>
      <c r="J102" s="25">
        <v>72</v>
      </c>
      <c r="K102" s="25">
        <v>21</v>
      </c>
      <c r="L102" s="25">
        <v>18</v>
      </c>
      <c r="M102" s="25">
        <v>18</v>
      </c>
      <c r="N102" s="25">
        <v>15</v>
      </c>
      <c r="O102" s="25"/>
      <c r="P102" s="25"/>
      <c r="Q102" s="25"/>
      <c r="R102" s="25"/>
      <c r="S102" s="35">
        <v>43051</v>
      </c>
      <c r="T102" s="51">
        <v>43313</v>
      </c>
      <c r="U102" s="25" t="s">
        <v>489</v>
      </c>
      <c r="V102" s="25"/>
      <c r="W102" s="25" t="s">
        <v>490</v>
      </c>
      <c r="X102" s="25" t="s">
        <v>491</v>
      </c>
      <c r="Y102" s="25"/>
      <c r="Z102" s="25"/>
      <c r="AA102" s="25"/>
      <c r="AB102" s="25"/>
      <c r="AC102" s="25" t="str">
        <f>TRIM(StudentScore[[#This Row],[Student Email]])</f>
        <v>kasadin.wis@student.mahidol.ac.th</v>
      </c>
    </row>
    <row r="103" spans="1:29" ht="27">
      <c r="A103" s="15">
        <v>97</v>
      </c>
      <c r="B103" s="16">
        <f t="shared" si="6"/>
        <v>61</v>
      </c>
      <c r="C103" s="27">
        <f t="shared" si="7"/>
        <v>2021</v>
      </c>
      <c r="D103" s="54"/>
      <c r="E103" s="17">
        <v>6188103</v>
      </c>
      <c r="F103" s="14" t="s">
        <v>38</v>
      </c>
      <c r="G103" s="14" t="s">
        <v>492</v>
      </c>
      <c r="H103" s="18" t="s">
        <v>493</v>
      </c>
      <c r="I103" s="25" t="s">
        <v>102</v>
      </c>
      <c r="J103" s="25">
        <v>96</v>
      </c>
      <c r="K103" s="25"/>
      <c r="L103" s="25"/>
      <c r="M103" s="25"/>
      <c r="N103" s="25"/>
      <c r="O103" s="25"/>
      <c r="P103" s="25"/>
      <c r="Q103" s="25"/>
      <c r="R103" s="25"/>
      <c r="S103" s="25"/>
      <c r="T103" s="51">
        <v>44348</v>
      </c>
      <c r="U103" s="25"/>
      <c r="V103" s="25"/>
      <c r="W103" s="25" t="s">
        <v>494</v>
      </c>
      <c r="X103" s="25" t="s">
        <v>495</v>
      </c>
      <c r="Y103" s="25"/>
      <c r="Z103" s="25"/>
      <c r="AA103" s="25"/>
      <c r="AB103" s="25"/>
      <c r="AC103" s="25" t="str">
        <f>TRIM(StudentScore[[#This Row],[Student Email]])</f>
        <v>chatchapong.min@student.mahidol.ac.th</v>
      </c>
    </row>
    <row r="104" spans="1:29" ht="27">
      <c r="A104" s="15">
        <v>98</v>
      </c>
      <c r="B104" s="16">
        <f t="shared" ref="B104:B135" si="8">VALUE(LEFT(E104,2))</f>
        <v>61</v>
      </c>
      <c r="C104" s="27">
        <f t="shared" ref="C104:C135" si="9">VALUE("25"&amp;B104)-543+3</f>
        <v>2021</v>
      </c>
      <c r="D104" s="54"/>
      <c r="E104" s="17">
        <v>6188104</v>
      </c>
      <c r="F104" s="14" t="s">
        <v>38</v>
      </c>
      <c r="G104" s="14" t="s">
        <v>496</v>
      </c>
      <c r="H104" s="18" t="s">
        <v>497</v>
      </c>
      <c r="I104" s="25" t="s">
        <v>102</v>
      </c>
      <c r="J104" s="25">
        <v>80</v>
      </c>
      <c r="K104" s="25"/>
      <c r="L104" s="25"/>
      <c r="M104" s="25"/>
      <c r="N104" s="25"/>
      <c r="O104" s="25"/>
      <c r="P104" s="25"/>
      <c r="Q104" s="25"/>
      <c r="R104" s="25"/>
      <c r="S104" s="25"/>
      <c r="T104" s="51">
        <v>44531</v>
      </c>
      <c r="U104" s="25"/>
      <c r="V104" s="25"/>
      <c r="W104" s="25" t="s">
        <v>498</v>
      </c>
      <c r="X104" s="25" t="s">
        <v>499</v>
      </c>
      <c r="Y104" s="25"/>
      <c r="Z104" s="25"/>
      <c r="AA104" s="25"/>
      <c r="AB104" s="25"/>
      <c r="AC104" s="25" t="str">
        <f>TRIM(StudentScore[[#This Row],[Student Email]])</f>
        <v>podchawat.wor@student.mahidol.ac.th</v>
      </c>
    </row>
    <row r="105" spans="1:29" ht="27">
      <c r="A105" s="15">
        <v>99</v>
      </c>
      <c r="B105" s="16">
        <f t="shared" si="8"/>
        <v>61</v>
      </c>
      <c r="C105" s="27">
        <f t="shared" si="9"/>
        <v>2021</v>
      </c>
      <c r="D105" s="54"/>
      <c r="E105" s="17">
        <v>6188105</v>
      </c>
      <c r="F105" s="14" t="s">
        <v>38</v>
      </c>
      <c r="G105" s="14" t="s">
        <v>500</v>
      </c>
      <c r="H105" s="18" t="s">
        <v>501</v>
      </c>
      <c r="I105" s="25" t="s">
        <v>102</v>
      </c>
      <c r="J105" s="25">
        <v>90</v>
      </c>
      <c r="K105" s="25"/>
      <c r="L105" s="25"/>
      <c r="M105" s="25"/>
      <c r="N105" s="25"/>
      <c r="O105" s="25"/>
      <c r="P105" s="25"/>
      <c r="Q105" s="25"/>
      <c r="R105" s="25"/>
      <c r="S105" s="25"/>
      <c r="T105" s="51">
        <v>44682</v>
      </c>
      <c r="U105" s="25"/>
      <c r="V105" s="25"/>
      <c r="W105" s="25" t="s">
        <v>502</v>
      </c>
      <c r="X105" s="25" t="s">
        <v>503</v>
      </c>
      <c r="Y105" s="25"/>
      <c r="Z105" s="25"/>
      <c r="AA105" s="25"/>
      <c r="AB105" s="25"/>
      <c r="AC105" s="25" t="str">
        <f>TRIM(StudentScore[[#This Row],[Student Email]])</f>
        <v>natchapon.aru@student.mahidol.ac.th</v>
      </c>
    </row>
    <row r="106" spans="1:29" ht="27">
      <c r="A106" s="15">
        <v>100</v>
      </c>
      <c r="B106" s="16">
        <f t="shared" si="8"/>
        <v>61</v>
      </c>
      <c r="C106" s="27">
        <f t="shared" si="9"/>
        <v>2021</v>
      </c>
      <c r="D106" s="54"/>
      <c r="E106" s="17">
        <v>6188106</v>
      </c>
      <c r="F106" s="14" t="s">
        <v>117</v>
      </c>
      <c r="G106" s="14" t="s">
        <v>504</v>
      </c>
      <c r="H106" s="18" t="s">
        <v>505</v>
      </c>
      <c r="I106" s="25" t="s">
        <v>102</v>
      </c>
      <c r="J106" s="25">
        <v>91</v>
      </c>
      <c r="K106" s="25"/>
      <c r="L106" s="25"/>
      <c r="M106" s="25"/>
      <c r="N106" s="25"/>
      <c r="O106" s="25"/>
      <c r="P106" s="25"/>
      <c r="Q106" s="25"/>
      <c r="R106" s="25"/>
      <c r="S106" s="25"/>
      <c r="T106" s="51">
        <v>44348</v>
      </c>
      <c r="U106" s="25"/>
      <c r="V106" s="25"/>
      <c r="W106" s="25" t="s">
        <v>506</v>
      </c>
      <c r="X106" s="25" t="s">
        <v>507</v>
      </c>
      <c r="Y106" s="25"/>
      <c r="Z106" s="25"/>
      <c r="AA106" s="25"/>
      <c r="AB106" s="25"/>
      <c r="AC106" s="25" t="str">
        <f>TRIM(StudentScore[[#This Row],[Student Email]])</f>
        <v>thananya.cht@student.mahidol.ac.th</v>
      </c>
    </row>
    <row r="107" spans="1:29" ht="27">
      <c r="A107" s="15">
        <v>101</v>
      </c>
      <c r="B107" s="16">
        <f t="shared" si="8"/>
        <v>61</v>
      </c>
      <c r="C107" s="27">
        <f t="shared" si="9"/>
        <v>2021</v>
      </c>
      <c r="D107" s="54"/>
      <c r="E107" s="17">
        <v>6188108</v>
      </c>
      <c r="F107" s="14" t="s">
        <v>117</v>
      </c>
      <c r="G107" s="14" t="s">
        <v>508</v>
      </c>
      <c r="H107" s="18" t="s">
        <v>509</v>
      </c>
      <c r="I107" s="25" t="s">
        <v>102</v>
      </c>
      <c r="J107" s="25">
        <v>79</v>
      </c>
      <c r="K107" s="25"/>
      <c r="L107" s="25"/>
      <c r="M107" s="25"/>
      <c r="N107" s="25"/>
      <c r="O107" s="25"/>
      <c r="P107" s="25"/>
      <c r="Q107" s="25"/>
      <c r="R107" s="25"/>
      <c r="S107" s="25"/>
      <c r="T107" s="51">
        <v>44348</v>
      </c>
      <c r="U107" s="25"/>
      <c r="V107" s="25"/>
      <c r="W107" s="25" t="s">
        <v>510</v>
      </c>
      <c r="X107" s="25" t="s">
        <v>511</v>
      </c>
      <c r="Y107" s="25"/>
      <c r="Z107" s="25"/>
      <c r="AA107" s="25"/>
      <c r="AB107" s="25"/>
      <c r="AC107" s="25" t="str">
        <f>TRIM(StudentScore[[#This Row],[Student Email]])</f>
        <v>nataree.man@student.mahidol.ac.th</v>
      </c>
    </row>
    <row r="108" spans="1:29" ht="27">
      <c r="A108" s="15">
        <v>102</v>
      </c>
      <c r="B108" s="16">
        <f t="shared" si="8"/>
        <v>61</v>
      </c>
      <c r="C108" s="27">
        <f t="shared" si="9"/>
        <v>2021</v>
      </c>
      <c r="D108" s="54"/>
      <c r="E108" s="17">
        <v>6188109</v>
      </c>
      <c r="F108" s="14" t="s">
        <v>117</v>
      </c>
      <c r="G108" s="14" t="s">
        <v>512</v>
      </c>
      <c r="H108" s="18" t="s">
        <v>513</v>
      </c>
      <c r="I108" s="25" t="s">
        <v>102</v>
      </c>
      <c r="J108" s="25">
        <v>75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51">
        <v>44348</v>
      </c>
      <c r="U108" s="25"/>
      <c r="V108" s="25"/>
      <c r="W108" s="25" t="s">
        <v>514</v>
      </c>
      <c r="X108" s="25" t="s">
        <v>515</v>
      </c>
      <c r="Y108" s="25"/>
      <c r="Z108" s="25"/>
      <c r="AA108" s="25"/>
      <c r="AB108" s="25"/>
      <c r="AC108" s="25" t="str">
        <f>TRIM(StudentScore[[#This Row],[Student Email]])</f>
        <v>piyada.pha@student.mahidol.ac.th</v>
      </c>
    </row>
    <row r="109" spans="1:29" ht="27">
      <c r="A109" s="15">
        <v>103</v>
      </c>
      <c r="B109" s="16">
        <f t="shared" si="8"/>
        <v>61</v>
      </c>
      <c r="C109" s="27">
        <f t="shared" si="9"/>
        <v>2021</v>
      </c>
      <c r="D109" s="54"/>
      <c r="E109" s="17">
        <v>6188110</v>
      </c>
      <c r="F109" s="14" t="s">
        <v>38</v>
      </c>
      <c r="G109" s="14" t="s">
        <v>516</v>
      </c>
      <c r="H109" s="18" t="s">
        <v>517</v>
      </c>
      <c r="I109" s="25" t="s">
        <v>102</v>
      </c>
      <c r="J109" s="25">
        <v>83</v>
      </c>
      <c r="K109" s="25"/>
      <c r="L109" s="25"/>
      <c r="M109" s="25"/>
      <c r="N109" s="25"/>
      <c r="O109" s="25"/>
      <c r="P109" s="25"/>
      <c r="Q109" s="25"/>
      <c r="R109" s="25"/>
      <c r="S109" s="25"/>
      <c r="T109" s="51">
        <v>44682</v>
      </c>
      <c r="U109" s="25"/>
      <c r="V109" s="25"/>
      <c r="W109" s="25" t="s">
        <v>518</v>
      </c>
      <c r="X109" s="25" t="s">
        <v>519</v>
      </c>
      <c r="Y109" s="25"/>
      <c r="Z109" s="25"/>
      <c r="AA109" s="25"/>
      <c r="AB109" s="25"/>
      <c r="AC109" s="25" t="str">
        <f>TRIM(StudentScore[[#This Row],[Student Email]])</f>
        <v>piyakorn.suw@student.mahidol.ac.th</v>
      </c>
    </row>
    <row r="110" spans="1:29" ht="27">
      <c r="A110" s="15">
        <v>104</v>
      </c>
      <c r="B110" s="16">
        <f t="shared" si="8"/>
        <v>61</v>
      </c>
      <c r="C110" s="27">
        <f t="shared" si="9"/>
        <v>2021</v>
      </c>
      <c r="D110" s="54"/>
      <c r="E110" s="17">
        <v>6188111</v>
      </c>
      <c r="F110" s="14" t="s">
        <v>38</v>
      </c>
      <c r="G110" s="14" t="s">
        <v>520</v>
      </c>
      <c r="H110" s="18" t="s">
        <v>521</v>
      </c>
      <c r="I110" s="25" t="s">
        <v>102</v>
      </c>
      <c r="J110" s="25">
        <v>76</v>
      </c>
      <c r="K110" s="25"/>
      <c r="L110" s="25"/>
      <c r="M110" s="25"/>
      <c r="N110" s="25"/>
      <c r="O110" s="25"/>
      <c r="P110" s="25"/>
      <c r="Q110" s="25"/>
      <c r="R110" s="25"/>
      <c r="S110" s="25"/>
      <c r="T110" s="51">
        <v>44348</v>
      </c>
      <c r="U110" s="25"/>
      <c r="V110" s="25"/>
      <c r="W110" s="25" t="s">
        <v>522</v>
      </c>
      <c r="X110" s="25" t="s">
        <v>523</v>
      </c>
      <c r="Y110" s="25"/>
      <c r="Z110" s="25"/>
      <c r="AA110" s="25"/>
      <c r="AB110" s="25"/>
      <c r="AC110" s="25" t="str">
        <f>TRIM(StudentScore[[#This Row],[Student Email]])</f>
        <v>patchara.say@student.mahidol.ac.th</v>
      </c>
    </row>
    <row r="111" spans="1:29" ht="27">
      <c r="A111" s="15">
        <v>105</v>
      </c>
      <c r="B111" s="16">
        <f t="shared" si="8"/>
        <v>61</v>
      </c>
      <c r="C111" s="27">
        <f t="shared" si="9"/>
        <v>2021</v>
      </c>
      <c r="D111" s="54"/>
      <c r="E111" s="17">
        <v>6188112</v>
      </c>
      <c r="F111" s="14" t="s">
        <v>117</v>
      </c>
      <c r="G111" s="14" t="s">
        <v>524</v>
      </c>
      <c r="H111" s="18" t="s">
        <v>525</v>
      </c>
      <c r="I111" s="25" t="s">
        <v>124</v>
      </c>
      <c r="J111" s="25">
        <v>5.5</v>
      </c>
      <c r="K111" s="25">
        <v>5.5</v>
      </c>
      <c r="L111" s="25">
        <v>5</v>
      </c>
      <c r="M111" s="25">
        <v>5.5</v>
      </c>
      <c r="N111" s="25">
        <v>5.5</v>
      </c>
      <c r="O111" s="25"/>
      <c r="P111" s="25"/>
      <c r="Q111" s="25"/>
      <c r="R111" s="25"/>
      <c r="S111" s="35">
        <v>43008</v>
      </c>
      <c r="T111" s="51">
        <v>43344</v>
      </c>
      <c r="U111" s="25"/>
      <c r="V111" s="25"/>
      <c r="W111" s="25" t="s">
        <v>526</v>
      </c>
      <c r="X111" s="25" t="s">
        <v>527</v>
      </c>
      <c r="Y111" s="25"/>
      <c r="Z111" s="25"/>
      <c r="AA111" s="25"/>
      <c r="AB111" s="25"/>
      <c r="AC111" s="25" t="str">
        <f>TRIM(StudentScore[[#This Row],[Student Email]])</f>
        <v>pimolporn.mal@student.mahidol.ac.th</v>
      </c>
    </row>
    <row r="112" spans="1:29" ht="27">
      <c r="A112" s="15">
        <v>106</v>
      </c>
      <c r="B112" s="16">
        <f t="shared" si="8"/>
        <v>61</v>
      </c>
      <c r="C112" s="27">
        <f t="shared" si="9"/>
        <v>2021</v>
      </c>
      <c r="D112" s="54"/>
      <c r="E112" s="17">
        <v>6188113</v>
      </c>
      <c r="F112" s="14" t="s">
        <v>117</v>
      </c>
      <c r="G112" s="14" t="s">
        <v>528</v>
      </c>
      <c r="H112" s="18" t="s">
        <v>529</v>
      </c>
      <c r="I112" s="25" t="s">
        <v>102</v>
      </c>
      <c r="J112" s="25">
        <v>89</v>
      </c>
      <c r="K112" s="25"/>
      <c r="L112" s="25"/>
      <c r="M112" s="25"/>
      <c r="N112" s="25"/>
      <c r="O112" s="25"/>
      <c r="P112" s="25"/>
      <c r="Q112" s="25"/>
      <c r="R112" s="25"/>
      <c r="S112" s="25"/>
      <c r="T112" s="51">
        <v>44348</v>
      </c>
      <c r="U112" s="25"/>
      <c r="V112" s="25"/>
      <c r="W112" s="25" t="s">
        <v>530</v>
      </c>
      <c r="X112" s="25" t="s">
        <v>531</v>
      </c>
      <c r="Y112" s="25"/>
      <c r="Z112" s="25"/>
      <c r="AA112" s="25"/>
      <c r="AB112" s="25"/>
      <c r="AC112" s="25" t="str">
        <f>TRIM(StudentScore[[#This Row],[Student Email]])</f>
        <v>piraya.chn@student.mahidol.ac.th</v>
      </c>
    </row>
    <row r="113" spans="1:29" ht="27">
      <c r="A113" s="15">
        <v>107</v>
      </c>
      <c r="B113" s="16">
        <f t="shared" si="8"/>
        <v>61</v>
      </c>
      <c r="C113" s="27">
        <f t="shared" si="9"/>
        <v>2021</v>
      </c>
      <c r="D113" s="54"/>
      <c r="E113" s="17">
        <v>6188114</v>
      </c>
      <c r="F113" s="14" t="s">
        <v>38</v>
      </c>
      <c r="G113" s="14" t="s">
        <v>532</v>
      </c>
      <c r="H113" s="18" t="s">
        <v>533</v>
      </c>
      <c r="I113" s="25" t="s">
        <v>102</v>
      </c>
      <c r="J113" s="25">
        <v>87</v>
      </c>
      <c r="K113" s="25"/>
      <c r="L113" s="25"/>
      <c r="M113" s="25"/>
      <c r="N113" s="25"/>
      <c r="O113" s="25"/>
      <c r="P113" s="25"/>
      <c r="Q113" s="25"/>
      <c r="R113" s="25"/>
      <c r="S113" s="25"/>
      <c r="T113" s="51">
        <v>44348</v>
      </c>
      <c r="U113" s="25"/>
      <c r="V113" s="25"/>
      <c r="W113" s="25" t="s">
        <v>534</v>
      </c>
      <c r="X113" s="25" t="s">
        <v>535</v>
      </c>
      <c r="Y113" s="25"/>
      <c r="Z113" s="25"/>
      <c r="AA113" s="25"/>
      <c r="AB113" s="25"/>
      <c r="AC113" s="25" t="str">
        <f>TRIM(StudentScore[[#This Row],[Student Email]])</f>
        <v>patarapong.jom@student.mahidol.ac.th</v>
      </c>
    </row>
    <row r="114" spans="1:29" ht="27">
      <c r="A114" s="15">
        <v>108</v>
      </c>
      <c r="B114" s="16">
        <f t="shared" si="8"/>
        <v>61</v>
      </c>
      <c r="C114" s="27">
        <f t="shared" si="9"/>
        <v>2021</v>
      </c>
      <c r="D114" s="54"/>
      <c r="E114" s="17">
        <v>6188115</v>
      </c>
      <c r="F114" s="14" t="s">
        <v>38</v>
      </c>
      <c r="G114" s="14" t="s">
        <v>536</v>
      </c>
      <c r="H114" s="18" t="s">
        <v>537</v>
      </c>
      <c r="I114" s="25" t="s">
        <v>102</v>
      </c>
      <c r="J114" s="25">
        <v>93</v>
      </c>
      <c r="K114" s="25"/>
      <c r="L114" s="25"/>
      <c r="M114" s="25"/>
      <c r="N114" s="25"/>
      <c r="O114" s="25"/>
      <c r="P114" s="25"/>
      <c r="Q114" s="25"/>
      <c r="R114" s="25"/>
      <c r="S114" s="25"/>
      <c r="T114" s="58">
        <v>44531</v>
      </c>
      <c r="U114" s="25"/>
      <c r="V114" s="25"/>
      <c r="W114" s="25" t="s">
        <v>538</v>
      </c>
      <c r="X114" s="25" t="s">
        <v>539</v>
      </c>
      <c r="Y114" s="25"/>
      <c r="Z114" s="25"/>
      <c r="AA114" s="25"/>
      <c r="AB114" s="25"/>
      <c r="AC114" s="25" t="str">
        <f>TRIM(StudentScore[[#This Row],[Student Email]])</f>
        <v>rungsimun.man@student.mahidol.ac.th</v>
      </c>
    </row>
    <row r="115" spans="1:29" ht="27">
      <c r="A115" s="15">
        <v>109</v>
      </c>
      <c r="B115" s="16">
        <f t="shared" si="8"/>
        <v>61</v>
      </c>
      <c r="C115" s="27">
        <f t="shared" si="9"/>
        <v>2021</v>
      </c>
      <c r="D115" s="54"/>
      <c r="E115" s="17">
        <v>6188116</v>
      </c>
      <c r="F115" s="14" t="s">
        <v>117</v>
      </c>
      <c r="G115" s="14" t="s">
        <v>540</v>
      </c>
      <c r="H115" s="18" t="s">
        <v>541</v>
      </c>
      <c r="I115" s="25" t="s">
        <v>48</v>
      </c>
      <c r="J115" s="25">
        <v>850</v>
      </c>
      <c r="K115" s="25">
        <v>440</v>
      </c>
      <c r="L115" s="25">
        <v>410</v>
      </c>
      <c r="M115" s="25"/>
      <c r="N115" s="25"/>
      <c r="O115" s="25"/>
      <c r="P115" s="25"/>
      <c r="Q115" s="25"/>
      <c r="R115" s="25"/>
      <c r="S115" s="35">
        <v>43880</v>
      </c>
      <c r="T115" s="51">
        <v>43862</v>
      </c>
      <c r="U115" s="25"/>
      <c r="V115" s="25"/>
      <c r="W115" s="25" t="s">
        <v>542</v>
      </c>
      <c r="X115" s="25" t="s">
        <v>543</v>
      </c>
      <c r="Y115" s="25"/>
      <c r="Z115" s="25"/>
      <c r="AA115" s="25"/>
      <c r="AB115" s="25"/>
      <c r="AC115" s="25" t="str">
        <f>TRIM(StudentScore[[#This Row],[Student Email]])</f>
        <v>wipada.kae@student.mahidol.ac.th</v>
      </c>
    </row>
    <row r="116" spans="1:29" ht="27">
      <c r="A116" s="15">
        <v>110</v>
      </c>
      <c r="B116" s="16">
        <f t="shared" si="8"/>
        <v>61</v>
      </c>
      <c r="C116" s="27">
        <f t="shared" si="9"/>
        <v>2021</v>
      </c>
      <c r="D116" s="54"/>
      <c r="E116" s="17">
        <v>6188117</v>
      </c>
      <c r="F116" s="14" t="s">
        <v>38</v>
      </c>
      <c r="G116" s="14" t="s">
        <v>544</v>
      </c>
      <c r="H116" s="18" t="s">
        <v>545</v>
      </c>
      <c r="I116" s="25" t="s">
        <v>64</v>
      </c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 t="s">
        <v>546</v>
      </c>
      <c r="X116" s="25" t="s">
        <v>547</v>
      </c>
      <c r="Y116" s="25"/>
      <c r="Z116" s="25"/>
      <c r="AA116" s="25"/>
      <c r="AB116" s="25"/>
      <c r="AC116" s="25" t="str">
        <f>TRIM(StudentScore[[#This Row],[Student Email]])</f>
        <v>visarut.mar@student.mahidol.ac.th</v>
      </c>
    </row>
    <row r="117" spans="1:29" ht="27">
      <c r="A117" s="15">
        <v>111</v>
      </c>
      <c r="B117" s="16">
        <f t="shared" si="8"/>
        <v>61</v>
      </c>
      <c r="C117" s="27">
        <f t="shared" si="9"/>
        <v>2021</v>
      </c>
      <c r="D117" s="54"/>
      <c r="E117" s="17">
        <v>6188118</v>
      </c>
      <c r="F117" s="14" t="s">
        <v>38</v>
      </c>
      <c r="G117" s="14" t="s">
        <v>548</v>
      </c>
      <c r="H117" s="18" t="s">
        <v>549</v>
      </c>
      <c r="I117" s="25" t="s">
        <v>102</v>
      </c>
      <c r="J117" s="25">
        <v>81</v>
      </c>
      <c r="K117" s="25"/>
      <c r="L117" s="25"/>
      <c r="M117" s="25"/>
      <c r="N117" s="25"/>
      <c r="O117" s="25"/>
      <c r="P117" s="25"/>
      <c r="Q117" s="25"/>
      <c r="R117" s="25"/>
      <c r="S117" s="25"/>
      <c r="T117" s="51">
        <v>44348</v>
      </c>
      <c r="U117" s="25"/>
      <c r="V117" s="25"/>
      <c r="W117" s="25" t="s">
        <v>550</v>
      </c>
      <c r="X117" s="25" t="s">
        <v>551</v>
      </c>
      <c r="Y117" s="25"/>
      <c r="Z117" s="25"/>
      <c r="AA117" s="25"/>
      <c r="AB117" s="25"/>
      <c r="AC117" s="25" t="str">
        <f>TRIM(StudentScore[[#This Row],[Student Email]])</f>
        <v>saranpoj.suk@student.mahidol.ac.th</v>
      </c>
    </row>
    <row r="118" spans="1:29" ht="27">
      <c r="A118" s="15">
        <v>112</v>
      </c>
      <c r="B118" s="16">
        <f t="shared" si="8"/>
        <v>61</v>
      </c>
      <c r="C118" s="27">
        <f t="shared" si="9"/>
        <v>2021</v>
      </c>
      <c r="D118" s="54"/>
      <c r="E118" s="17">
        <v>6188119</v>
      </c>
      <c r="F118" s="14" t="s">
        <v>117</v>
      </c>
      <c r="G118" s="14" t="s">
        <v>552</v>
      </c>
      <c r="H118" s="18" t="s">
        <v>553</v>
      </c>
      <c r="I118" s="25" t="s">
        <v>48</v>
      </c>
      <c r="J118" s="25">
        <v>685</v>
      </c>
      <c r="K118" s="25">
        <v>405</v>
      </c>
      <c r="L118" s="25">
        <v>280</v>
      </c>
      <c r="M118" s="25"/>
      <c r="N118" s="25"/>
      <c r="O118" s="25"/>
      <c r="P118" s="25"/>
      <c r="Q118" s="25"/>
      <c r="R118" s="25"/>
      <c r="S118" s="35">
        <v>43880</v>
      </c>
      <c r="T118" s="51">
        <v>43862</v>
      </c>
      <c r="U118" s="25"/>
      <c r="V118" s="25"/>
      <c r="W118" s="25" t="s">
        <v>554</v>
      </c>
      <c r="X118" s="25" t="s">
        <v>555</v>
      </c>
      <c r="Y118" s="25"/>
      <c r="Z118" s="25"/>
      <c r="AA118" s="25"/>
      <c r="AB118" s="25"/>
      <c r="AC118" s="25" t="str">
        <f>TRIM(StudentScore[[#This Row],[Student Email]])</f>
        <v>sarannuch.tro@student.mahidol.ac.th</v>
      </c>
    </row>
    <row r="119" spans="1:29" ht="27">
      <c r="A119" s="15">
        <v>113</v>
      </c>
      <c r="B119" s="16">
        <f t="shared" si="8"/>
        <v>61</v>
      </c>
      <c r="C119" s="27">
        <f t="shared" si="9"/>
        <v>2021</v>
      </c>
      <c r="D119" s="54"/>
      <c r="E119" s="17">
        <v>6188121</v>
      </c>
      <c r="F119" s="14" t="s">
        <v>38</v>
      </c>
      <c r="G119" s="14" t="s">
        <v>556</v>
      </c>
      <c r="H119" s="18" t="s">
        <v>557</v>
      </c>
      <c r="I119" s="25" t="s">
        <v>102</v>
      </c>
      <c r="J119" s="25">
        <v>81</v>
      </c>
      <c r="K119" s="25"/>
      <c r="L119" s="25"/>
      <c r="M119" s="25"/>
      <c r="N119" s="25"/>
      <c r="O119" s="25"/>
      <c r="P119" s="25"/>
      <c r="Q119" s="25"/>
      <c r="R119" s="25"/>
      <c r="S119" s="25"/>
      <c r="T119" s="51">
        <v>44348</v>
      </c>
      <c r="U119" s="25"/>
      <c r="V119" s="25"/>
      <c r="W119" s="25" t="s">
        <v>558</v>
      </c>
      <c r="X119" s="25" t="s">
        <v>559</v>
      </c>
      <c r="Y119" s="25"/>
      <c r="Z119" s="25"/>
      <c r="AA119" s="25"/>
      <c r="AB119" s="25"/>
      <c r="AC119" s="25" t="str">
        <f>TRIM(StudentScore[[#This Row],[Student Email]])</f>
        <v>saharat.ara@student.mahidol.ac.th</v>
      </c>
    </row>
    <row r="120" spans="1:29" ht="27">
      <c r="A120" s="15">
        <v>114</v>
      </c>
      <c r="B120" s="16">
        <f t="shared" si="8"/>
        <v>61</v>
      </c>
      <c r="C120" s="27">
        <f t="shared" si="9"/>
        <v>2021</v>
      </c>
      <c r="D120" s="54"/>
      <c r="E120" s="17">
        <v>6188122</v>
      </c>
      <c r="F120" s="14" t="s">
        <v>38</v>
      </c>
      <c r="G120" s="14" t="s">
        <v>560</v>
      </c>
      <c r="H120" s="18" t="s">
        <v>561</v>
      </c>
      <c r="I120" s="25" t="s">
        <v>124</v>
      </c>
      <c r="J120" s="25">
        <v>6</v>
      </c>
      <c r="K120" s="25">
        <v>6</v>
      </c>
      <c r="L120" s="25">
        <v>6.5</v>
      </c>
      <c r="M120" s="25">
        <v>5.5</v>
      </c>
      <c r="N120" s="25">
        <v>6.5</v>
      </c>
      <c r="O120" s="25"/>
      <c r="P120" s="25"/>
      <c r="Q120" s="25"/>
      <c r="R120" s="25"/>
      <c r="S120" s="35">
        <v>43174</v>
      </c>
      <c r="T120" s="51">
        <v>43344</v>
      </c>
      <c r="U120" s="25"/>
      <c r="V120" s="25"/>
      <c r="W120" s="25" t="s">
        <v>562</v>
      </c>
      <c r="X120" s="25" t="s">
        <v>563</v>
      </c>
      <c r="Y120" s="25"/>
      <c r="Z120" s="25"/>
      <c r="AA120" s="25"/>
      <c r="AB120" s="25"/>
      <c r="AC120" s="25" t="str">
        <f>TRIM(StudentScore[[#This Row],[Student Email]])</f>
        <v>ekkawit.san@student.mahidol.ac.th</v>
      </c>
    </row>
    <row r="121" spans="1:29" ht="27">
      <c r="A121" s="15">
        <v>115</v>
      </c>
      <c r="B121" s="16">
        <f t="shared" si="8"/>
        <v>61</v>
      </c>
      <c r="C121" s="27">
        <f t="shared" si="9"/>
        <v>2021</v>
      </c>
      <c r="D121" s="54"/>
      <c r="E121" s="17">
        <v>6188125</v>
      </c>
      <c r="F121" s="14" t="s">
        <v>117</v>
      </c>
      <c r="G121" s="14" t="s">
        <v>564</v>
      </c>
      <c r="H121" s="18" t="s">
        <v>565</v>
      </c>
      <c r="I121" s="25" t="s">
        <v>102</v>
      </c>
      <c r="J121" s="25">
        <v>78</v>
      </c>
      <c r="K121" s="25"/>
      <c r="L121" s="25"/>
      <c r="M121" s="25"/>
      <c r="N121" s="25"/>
      <c r="O121" s="25"/>
      <c r="P121" s="25"/>
      <c r="Q121" s="25"/>
      <c r="R121" s="25"/>
      <c r="S121" s="25"/>
      <c r="T121" s="51">
        <v>44348</v>
      </c>
      <c r="U121" s="25"/>
      <c r="V121" s="25"/>
      <c r="W121" s="25" t="s">
        <v>566</v>
      </c>
      <c r="X121" s="25" t="s">
        <v>567</v>
      </c>
      <c r="Y121" s="25"/>
      <c r="Z121" s="25"/>
      <c r="AA121" s="25"/>
      <c r="AB121" s="25"/>
      <c r="AC121" s="25" t="str">
        <f>TRIM(StudentScore[[#This Row],[Student Email]])</f>
        <v>kanittha.che@student.mahidol.ac.th</v>
      </c>
    </row>
    <row r="122" spans="1:29" ht="27">
      <c r="A122" s="15">
        <v>116</v>
      </c>
      <c r="B122" s="16">
        <f t="shared" si="8"/>
        <v>61</v>
      </c>
      <c r="C122" s="27">
        <f t="shared" si="9"/>
        <v>2021</v>
      </c>
      <c r="D122" s="54"/>
      <c r="E122" s="17">
        <v>6188128</v>
      </c>
      <c r="F122" s="14" t="s">
        <v>38</v>
      </c>
      <c r="G122" s="14" t="s">
        <v>568</v>
      </c>
      <c r="H122" s="18" t="s">
        <v>569</v>
      </c>
      <c r="I122" s="25" t="s">
        <v>102</v>
      </c>
      <c r="J122" s="25">
        <v>79</v>
      </c>
      <c r="K122" s="25"/>
      <c r="L122" s="25"/>
      <c r="M122" s="25"/>
      <c r="N122" s="25"/>
      <c r="O122" s="25"/>
      <c r="P122" s="25"/>
      <c r="Q122" s="25"/>
      <c r="R122" s="25"/>
      <c r="S122" s="25"/>
      <c r="T122" s="51">
        <v>44531</v>
      </c>
      <c r="U122" s="25"/>
      <c r="V122" s="25"/>
      <c r="W122" s="25" t="s">
        <v>570</v>
      </c>
      <c r="X122" s="25" t="s">
        <v>571</v>
      </c>
      <c r="Y122" s="25"/>
      <c r="Z122" s="25"/>
      <c r="AA122" s="25"/>
      <c r="AB122" s="25"/>
      <c r="AC122" s="25" t="str">
        <f>TRIM(StudentScore[[#This Row],[Student Email]])</f>
        <v>napatr.thi@student.mahidol.ac.th</v>
      </c>
    </row>
    <row r="123" spans="1:29" ht="27">
      <c r="A123" s="15">
        <v>117</v>
      </c>
      <c r="B123" s="16">
        <f t="shared" si="8"/>
        <v>61</v>
      </c>
      <c r="C123" s="27">
        <f t="shared" si="9"/>
        <v>2021</v>
      </c>
      <c r="D123" s="54"/>
      <c r="E123" s="17">
        <v>6188129</v>
      </c>
      <c r="F123" s="14" t="s">
        <v>117</v>
      </c>
      <c r="G123" s="14" t="s">
        <v>572</v>
      </c>
      <c r="H123" s="18" t="s">
        <v>573</v>
      </c>
      <c r="I123" s="25" t="s">
        <v>244</v>
      </c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 t="s">
        <v>574</v>
      </c>
      <c r="X123" s="25" t="s">
        <v>575</v>
      </c>
      <c r="Y123" s="25"/>
      <c r="Z123" s="25"/>
      <c r="AA123" s="25"/>
      <c r="AB123" s="25"/>
      <c r="AC123" s="25" t="str">
        <f>TRIM(StudentScore[[#This Row],[Student Email]])</f>
        <v>thunyathorn.pas@student.mahidol.ac.th</v>
      </c>
    </row>
    <row r="124" spans="1:29" ht="27">
      <c r="A124" s="15">
        <v>118</v>
      </c>
      <c r="B124" s="16">
        <f t="shared" si="8"/>
        <v>61</v>
      </c>
      <c r="C124" s="27">
        <f t="shared" si="9"/>
        <v>2021</v>
      </c>
      <c r="D124" s="54"/>
      <c r="E124" s="17">
        <v>6188130</v>
      </c>
      <c r="F124" s="14" t="s">
        <v>117</v>
      </c>
      <c r="G124" s="14" t="s">
        <v>576</v>
      </c>
      <c r="H124" s="18" t="s">
        <v>577</v>
      </c>
      <c r="I124" s="25" t="s">
        <v>244</v>
      </c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 t="s">
        <v>578</v>
      </c>
      <c r="X124" s="25" t="s">
        <v>579</v>
      </c>
      <c r="Y124" s="25"/>
      <c r="Z124" s="25"/>
      <c r="AA124" s="25"/>
      <c r="AB124" s="25"/>
      <c r="AC124" s="25" t="str">
        <f>TRIM(StudentScore[[#This Row],[Student Email]])</f>
        <v>palita.thy@student.mahidol.ac.th</v>
      </c>
    </row>
    <row r="125" spans="1:29" ht="27">
      <c r="A125" s="15">
        <v>119</v>
      </c>
      <c r="B125" s="16">
        <f t="shared" si="8"/>
        <v>61</v>
      </c>
      <c r="C125" s="27">
        <f t="shared" si="9"/>
        <v>2021</v>
      </c>
      <c r="D125" s="54"/>
      <c r="E125" s="17">
        <v>6188131</v>
      </c>
      <c r="F125" s="14" t="s">
        <v>38</v>
      </c>
      <c r="G125" s="14" t="s">
        <v>520</v>
      </c>
      <c r="H125" s="18" t="s">
        <v>580</v>
      </c>
      <c r="I125" s="25" t="s">
        <v>102</v>
      </c>
      <c r="J125" s="25">
        <v>83</v>
      </c>
      <c r="K125" s="25"/>
      <c r="L125" s="25"/>
      <c r="M125" s="25"/>
      <c r="N125" s="25"/>
      <c r="O125" s="25"/>
      <c r="P125" s="25"/>
      <c r="Q125" s="25"/>
      <c r="R125" s="25"/>
      <c r="S125" s="25"/>
      <c r="T125" s="51">
        <v>44348</v>
      </c>
      <c r="U125" s="25"/>
      <c r="V125" s="25"/>
      <c r="W125" s="25" t="s">
        <v>581</v>
      </c>
      <c r="X125" s="25" t="s">
        <v>582</v>
      </c>
      <c r="Y125" s="25"/>
      <c r="Z125" s="25"/>
      <c r="AA125" s="25"/>
      <c r="AB125" s="25"/>
      <c r="AC125" s="25" t="str">
        <f>TRIM(StudentScore[[#This Row],[Student Email]])</f>
        <v>patchara.chp@student.mahidol.ac.th</v>
      </c>
    </row>
    <row r="126" spans="1:29" ht="27">
      <c r="A126" s="15">
        <v>120</v>
      </c>
      <c r="B126" s="16">
        <f t="shared" si="8"/>
        <v>61</v>
      </c>
      <c r="C126" s="27">
        <f t="shared" si="9"/>
        <v>2021</v>
      </c>
      <c r="D126" s="54"/>
      <c r="E126" s="17">
        <v>6188132</v>
      </c>
      <c r="F126" s="14" t="s">
        <v>117</v>
      </c>
      <c r="G126" s="14" t="s">
        <v>583</v>
      </c>
      <c r="H126" s="18" t="s">
        <v>584</v>
      </c>
      <c r="I126" s="25" t="s">
        <v>102</v>
      </c>
      <c r="J126" s="25">
        <v>89</v>
      </c>
      <c r="K126" s="25"/>
      <c r="L126" s="25"/>
      <c r="M126" s="25"/>
      <c r="N126" s="25"/>
      <c r="O126" s="25"/>
      <c r="P126" s="25"/>
      <c r="Q126" s="25"/>
      <c r="R126" s="25"/>
      <c r="S126" s="25"/>
      <c r="T126" s="51">
        <v>44531</v>
      </c>
      <c r="U126" s="25"/>
      <c r="V126" s="25"/>
      <c r="W126" s="25" t="s">
        <v>585</v>
      </c>
      <c r="X126" s="25" t="s">
        <v>586</v>
      </c>
      <c r="Y126" s="25"/>
      <c r="Z126" s="25"/>
      <c r="AA126" s="25"/>
      <c r="AB126" s="25"/>
      <c r="AC126" s="25" t="str">
        <f>TRIM(StudentScore[[#This Row],[Student Email]])</f>
        <v>matawee.nak@student.mahidol.ac.th</v>
      </c>
    </row>
    <row r="127" spans="1:29" ht="27">
      <c r="A127" s="15">
        <v>121</v>
      </c>
      <c r="B127" s="16">
        <f t="shared" si="8"/>
        <v>61</v>
      </c>
      <c r="C127" s="27">
        <f t="shared" si="9"/>
        <v>2021</v>
      </c>
      <c r="D127" s="54"/>
      <c r="E127" s="17">
        <v>6188135</v>
      </c>
      <c r="F127" s="14" t="s">
        <v>117</v>
      </c>
      <c r="G127" s="14" t="s">
        <v>587</v>
      </c>
      <c r="H127" s="18" t="s">
        <v>588</v>
      </c>
      <c r="I127" s="25" t="s">
        <v>102</v>
      </c>
      <c r="J127" s="25">
        <v>75</v>
      </c>
      <c r="K127" s="25"/>
      <c r="L127" s="25"/>
      <c r="M127" s="25"/>
      <c r="N127" s="25"/>
      <c r="O127" s="25"/>
      <c r="P127" s="25"/>
      <c r="Q127" s="25"/>
      <c r="R127" s="25"/>
      <c r="S127" s="25"/>
      <c r="T127" s="51">
        <v>44348</v>
      </c>
      <c r="U127" s="25"/>
      <c r="V127" s="25"/>
      <c r="W127" s="25" t="s">
        <v>589</v>
      </c>
      <c r="X127" s="25" t="s">
        <v>590</v>
      </c>
      <c r="Y127" s="25"/>
      <c r="Z127" s="25"/>
      <c r="AA127" s="25"/>
      <c r="AB127" s="25"/>
      <c r="AC127" s="25" t="str">
        <f>TRIM(StudentScore[[#This Row],[Student Email]])</f>
        <v>wanwisa.waw@student.mahidol.ac.th</v>
      </c>
    </row>
    <row r="128" spans="1:29" ht="27">
      <c r="A128" s="15">
        <v>122</v>
      </c>
      <c r="B128" s="16">
        <f t="shared" si="8"/>
        <v>61</v>
      </c>
      <c r="C128" s="27">
        <f t="shared" si="9"/>
        <v>2021</v>
      </c>
      <c r="D128" s="54"/>
      <c r="E128" s="17">
        <v>6188136</v>
      </c>
      <c r="F128" s="14" t="s">
        <v>117</v>
      </c>
      <c r="G128" s="14" t="s">
        <v>591</v>
      </c>
      <c r="H128" s="18" t="s">
        <v>592</v>
      </c>
      <c r="I128" s="25" t="s">
        <v>102</v>
      </c>
      <c r="J128" s="25">
        <v>87</v>
      </c>
      <c r="K128" s="25"/>
      <c r="L128" s="25"/>
      <c r="M128" s="25"/>
      <c r="N128" s="25"/>
      <c r="O128" s="25"/>
      <c r="P128" s="25"/>
      <c r="Q128" s="25"/>
      <c r="R128" s="25"/>
      <c r="S128" s="25"/>
      <c r="T128" s="51">
        <v>44348</v>
      </c>
      <c r="U128" s="25"/>
      <c r="V128" s="25"/>
      <c r="W128" s="25" t="s">
        <v>593</v>
      </c>
      <c r="X128" s="25" t="s">
        <v>594</v>
      </c>
      <c r="Y128" s="25"/>
      <c r="Z128" s="25"/>
      <c r="AA128" s="25"/>
      <c r="AB128" s="25"/>
      <c r="AC128" s="25" t="str">
        <f>TRIM(StudentScore[[#This Row],[Student Email]])</f>
        <v>ornpicha.aru@student.mahidol.ac.th</v>
      </c>
    </row>
    <row r="129" spans="1:29" ht="27">
      <c r="A129" s="15">
        <v>123</v>
      </c>
      <c r="B129" s="16">
        <f t="shared" si="8"/>
        <v>61</v>
      </c>
      <c r="C129" s="27">
        <f t="shared" si="9"/>
        <v>2021</v>
      </c>
      <c r="D129" s="54"/>
      <c r="E129" s="17">
        <v>6188137</v>
      </c>
      <c r="F129" s="14" t="s">
        <v>38</v>
      </c>
      <c r="G129" s="14" t="s">
        <v>595</v>
      </c>
      <c r="H129" s="18" t="s">
        <v>596</v>
      </c>
      <c r="I129" s="25" t="s">
        <v>124</v>
      </c>
      <c r="J129" s="25">
        <v>5.5</v>
      </c>
      <c r="K129" s="25">
        <v>6</v>
      </c>
      <c r="L129" s="25">
        <v>6</v>
      </c>
      <c r="M129" s="25">
        <v>5</v>
      </c>
      <c r="N129" s="25">
        <v>5</v>
      </c>
      <c r="O129" s="25"/>
      <c r="P129" s="25"/>
      <c r="Q129" s="25"/>
      <c r="R129" s="25"/>
      <c r="S129" s="35">
        <v>43155</v>
      </c>
      <c r="T129" s="51">
        <v>43344</v>
      </c>
      <c r="U129" s="25"/>
      <c r="V129" s="25"/>
      <c r="W129" s="25" t="s">
        <v>597</v>
      </c>
      <c r="X129" s="25" t="s">
        <v>598</v>
      </c>
      <c r="Y129" s="25"/>
      <c r="Z129" s="25"/>
      <c r="AA129" s="25"/>
      <c r="AB129" s="25"/>
      <c r="AC129" s="25" t="str">
        <f>TRIM(StudentScore[[#This Row],[Student Email]])</f>
        <v>xuchen.guo@student.mahidol.ac.th</v>
      </c>
    </row>
    <row r="130" spans="1:29" ht="27">
      <c r="A130" s="15">
        <v>124</v>
      </c>
      <c r="B130" s="16">
        <f t="shared" si="8"/>
        <v>61</v>
      </c>
      <c r="C130" s="27">
        <f t="shared" si="9"/>
        <v>2021</v>
      </c>
      <c r="D130" s="54"/>
      <c r="E130" s="17">
        <v>6188138</v>
      </c>
      <c r="F130" s="14" t="s">
        <v>38</v>
      </c>
      <c r="G130" s="14" t="s">
        <v>599</v>
      </c>
      <c r="H130" s="18" t="s">
        <v>600</v>
      </c>
      <c r="I130" s="25" t="s">
        <v>41</v>
      </c>
      <c r="J130" s="25">
        <v>6</v>
      </c>
      <c r="K130" s="25">
        <v>6.5</v>
      </c>
      <c r="L130" s="25">
        <v>7</v>
      </c>
      <c r="M130" s="25">
        <v>5.5</v>
      </c>
      <c r="N130" s="25">
        <v>5.5</v>
      </c>
      <c r="O130" s="25"/>
      <c r="P130" s="25"/>
      <c r="Q130" s="25"/>
      <c r="R130" s="25"/>
      <c r="S130" s="35">
        <v>44506</v>
      </c>
      <c r="T130" s="35">
        <v>44631</v>
      </c>
      <c r="U130" s="25"/>
      <c r="V130" s="25"/>
      <c r="W130" s="25" t="s">
        <v>601</v>
      </c>
      <c r="X130" s="25" t="s">
        <v>602</v>
      </c>
      <c r="Y130" s="25"/>
      <c r="Z130" s="25"/>
      <c r="AA130" s="25"/>
      <c r="AB130" s="25"/>
      <c r="AC130" s="25" t="str">
        <f>TRIM(StudentScore[[#This Row],[Student Email]])</f>
        <v>yuxiang.hu@student.mahidol.ac.th</v>
      </c>
    </row>
    <row r="131" spans="1:29" ht="27">
      <c r="A131" s="15">
        <v>125</v>
      </c>
      <c r="B131" s="16">
        <f t="shared" si="8"/>
        <v>61</v>
      </c>
      <c r="C131" s="27">
        <f t="shared" si="9"/>
        <v>2021</v>
      </c>
      <c r="D131" s="54"/>
      <c r="E131" s="17">
        <v>6188140</v>
      </c>
      <c r="F131" s="14" t="s">
        <v>38</v>
      </c>
      <c r="G131" s="14" t="s">
        <v>603</v>
      </c>
      <c r="H131" s="18" t="s">
        <v>604</v>
      </c>
      <c r="I131" s="25" t="s">
        <v>102</v>
      </c>
      <c r="J131" s="25">
        <v>79</v>
      </c>
      <c r="K131" s="25"/>
      <c r="L131" s="25"/>
      <c r="M131" s="25"/>
      <c r="N131" s="25"/>
      <c r="O131" s="25"/>
      <c r="P131" s="25"/>
      <c r="Q131" s="25"/>
      <c r="R131" s="25"/>
      <c r="S131" s="25"/>
      <c r="T131" s="51">
        <v>44682</v>
      </c>
      <c r="U131" s="25"/>
      <c r="V131" s="25"/>
      <c r="W131" s="25" t="s">
        <v>605</v>
      </c>
      <c r="X131" s="25" t="s">
        <v>606</v>
      </c>
      <c r="Y131" s="25"/>
      <c r="Z131" s="25"/>
      <c r="AA131" s="25"/>
      <c r="AB131" s="25"/>
      <c r="AC131" s="25" t="str">
        <f>TRIM(StudentScore[[#This Row],[Student Email]])</f>
        <v>weitong.den@student.mahidol.ac.th</v>
      </c>
    </row>
    <row r="132" spans="1:29" ht="27">
      <c r="A132" s="15">
        <v>126</v>
      </c>
      <c r="B132" s="16">
        <f t="shared" si="8"/>
        <v>61</v>
      </c>
      <c r="C132" s="27">
        <f t="shared" si="9"/>
        <v>2021</v>
      </c>
      <c r="D132" s="54"/>
      <c r="E132" s="17">
        <v>6188141</v>
      </c>
      <c r="F132" s="14" t="s">
        <v>38</v>
      </c>
      <c r="G132" s="14" t="s">
        <v>607</v>
      </c>
      <c r="H132" s="18" t="s">
        <v>608</v>
      </c>
      <c r="I132" s="25" t="s">
        <v>102</v>
      </c>
      <c r="J132" s="25">
        <v>89</v>
      </c>
      <c r="K132" s="25"/>
      <c r="L132" s="25"/>
      <c r="M132" s="25"/>
      <c r="N132" s="25"/>
      <c r="O132" s="25"/>
      <c r="P132" s="25"/>
      <c r="Q132" s="25"/>
      <c r="R132" s="25"/>
      <c r="S132" s="25"/>
      <c r="T132" s="51">
        <v>44682</v>
      </c>
      <c r="U132" s="25"/>
      <c r="V132" s="25"/>
      <c r="W132" s="25" t="s">
        <v>609</v>
      </c>
      <c r="X132" s="25" t="s">
        <v>610</v>
      </c>
      <c r="Y132" s="25"/>
      <c r="Z132" s="25"/>
      <c r="AA132" s="25"/>
      <c r="AB132" s="25"/>
      <c r="AC132" s="25" t="str">
        <f>TRIM(StudentScore[[#This Row],[Student Email]])</f>
        <v>yuyang.lai@student.mahidol.ac.th</v>
      </c>
    </row>
    <row r="133" spans="1:29" ht="27">
      <c r="A133" s="15">
        <v>127</v>
      </c>
      <c r="B133" s="16">
        <f t="shared" si="8"/>
        <v>61</v>
      </c>
      <c r="C133" s="27">
        <f t="shared" si="9"/>
        <v>2021</v>
      </c>
      <c r="D133" s="54"/>
      <c r="E133" s="17">
        <v>6188142</v>
      </c>
      <c r="F133" s="14" t="s">
        <v>117</v>
      </c>
      <c r="G133" s="14" t="s">
        <v>611</v>
      </c>
      <c r="H133" s="18" t="s">
        <v>612</v>
      </c>
      <c r="I133" s="25" t="s">
        <v>48</v>
      </c>
      <c r="J133" s="25">
        <v>690</v>
      </c>
      <c r="K133" s="25">
        <v>350</v>
      </c>
      <c r="L133" s="25">
        <v>340</v>
      </c>
      <c r="M133" s="25"/>
      <c r="N133" s="25"/>
      <c r="O133" s="25"/>
      <c r="P133" s="25"/>
      <c r="Q133" s="25"/>
      <c r="R133" s="25"/>
      <c r="S133" s="35">
        <v>44153</v>
      </c>
      <c r="T133" s="51">
        <v>44136</v>
      </c>
      <c r="U133" s="25"/>
      <c r="V133" s="25"/>
      <c r="W133" s="25" t="s">
        <v>613</v>
      </c>
      <c r="X133" s="25" t="s">
        <v>614</v>
      </c>
      <c r="Y133" s="25"/>
      <c r="Z133" s="25"/>
      <c r="AA133" s="25"/>
      <c r="AB133" s="25"/>
      <c r="AC133" s="25" t="str">
        <f>TRIM(StudentScore[[#This Row],[Student Email]])</f>
        <v>porapat.hos@student.mahidol.ac.th</v>
      </c>
    </row>
    <row r="134" spans="1:29" ht="27">
      <c r="A134" s="15">
        <v>128</v>
      </c>
      <c r="B134" s="16">
        <f t="shared" si="8"/>
        <v>61</v>
      </c>
      <c r="C134" s="27">
        <f t="shared" si="9"/>
        <v>2021</v>
      </c>
      <c r="D134" s="54"/>
      <c r="E134" s="17">
        <v>6188143</v>
      </c>
      <c r="F134" s="14" t="s">
        <v>615</v>
      </c>
      <c r="G134" s="14" t="s">
        <v>616</v>
      </c>
      <c r="H134" s="18" t="s">
        <v>617</v>
      </c>
      <c r="I134" s="25" t="s">
        <v>102</v>
      </c>
      <c r="J134" s="25">
        <v>89</v>
      </c>
      <c r="K134" s="25"/>
      <c r="L134" s="25"/>
      <c r="M134" s="25"/>
      <c r="N134" s="25"/>
      <c r="O134" s="25"/>
      <c r="P134" s="25"/>
      <c r="Q134" s="25"/>
      <c r="R134" s="25"/>
      <c r="S134" s="25"/>
      <c r="T134" s="51">
        <v>44531</v>
      </c>
      <c r="U134" s="25"/>
      <c r="V134" s="25"/>
      <c r="W134" s="25" t="s">
        <v>618</v>
      </c>
      <c r="X134" s="25" t="s">
        <v>619</v>
      </c>
      <c r="Y134" s="25"/>
      <c r="Z134" s="25"/>
      <c r="AA134" s="25"/>
      <c r="AB134" s="25"/>
      <c r="AC134" s="25" t="str">
        <f>TRIM(StudentScore[[#This Row],[Student Email]])</f>
        <v>witchaiyut.phi@student.mahidol.ac.th</v>
      </c>
    </row>
    <row r="135" spans="1:29" ht="27">
      <c r="A135" s="15">
        <v>129</v>
      </c>
      <c r="B135" s="16">
        <f t="shared" si="8"/>
        <v>61</v>
      </c>
      <c r="C135" s="27">
        <f t="shared" si="9"/>
        <v>2021</v>
      </c>
      <c r="D135" s="54"/>
      <c r="E135" s="17">
        <v>6188144</v>
      </c>
      <c r="F135" s="14" t="s">
        <v>615</v>
      </c>
      <c r="G135" s="14" t="s">
        <v>620</v>
      </c>
      <c r="H135" s="18" t="s">
        <v>621</v>
      </c>
      <c r="I135" s="25" t="s">
        <v>244</v>
      </c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 t="s">
        <v>622</v>
      </c>
      <c r="X135" s="25" t="s">
        <v>623</v>
      </c>
      <c r="Y135" s="25"/>
      <c r="Z135" s="25"/>
      <c r="AA135" s="25"/>
      <c r="AB135" s="25"/>
      <c r="AC135" s="25" t="str">
        <f>TRIM(StudentScore[[#This Row],[Student Email]])</f>
        <v>sakda.rue@student.mahidol.ac.th</v>
      </c>
    </row>
    <row r="136" spans="1:29" ht="27">
      <c r="A136" s="15">
        <v>130</v>
      </c>
      <c r="B136" s="16">
        <f t="shared" ref="B136" si="10">VALUE(LEFT(E136,2))</f>
        <v>61</v>
      </c>
      <c r="C136" s="27">
        <f t="shared" ref="C136" si="11">VALUE("25"&amp;B136)-543+3</f>
        <v>2021</v>
      </c>
      <c r="D136" s="54"/>
      <c r="E136" s="17">
        <v>6188146</v>
      </c>
      <c r="F136" s="14" t="s">
        <v>615</v>
      </c>
      <c r="G136" s="14" t="s">
        <v>624</v>
      </c>
      <c r="H136" s="18" t="s">
        <v>625</v>
      </c>
      <c r="I136" s="25" t="s">
        <v>64</v>
      </c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 t="s">
        <v>626</v>
      </c>
      <c r="X136" s="25" t="s">
        <v>627</v>
      </c>
      <c r="Y136" s="25"/>
      <c r="Z136" s="25"/>
      <c r="AA136" s="25"/>
      <c r="AB136" s="25"/>
      <c r="AC136" s="25" t="str">
        <f>TRIM(StudentScore[[#This Row],[Student Email]])</f>
        <v>tulyawat.wor@student.mahidol.ac.th</v>
      </c>
    </row>
    <row r="137" spans="1:29" ht="27">
      <c r="A137" s="15">
        <v>131</v>
      </c>
      <c r="B137" s="16">
        <f t="shared" ref="B137:B200" si="12">VALUE(LEFT(E137,2))</f>
        <v>61</v>
      </c>
      <c r="C137" s="27">
        <f t="shared" ref="C137:C200" si="13">VALUE("25"&amp;B137)-543+3</f>
        <v>2021</v>
      </c>
      <c r="D137" s="54"/>
      <c r="E137" s="17">
        <v>6188147</v>
      </c>
      <c r="F137" s="14" t="s">
        <v>615</v>
      </c>
      <c r="G137" s="14" t="s">
        <v>628</v>
      </c>
      <c r="H137" s="18" t="s">
        <v>629</v>
      </c>
      <c r="I137" s="25" t="s">
        <v>48</v>
      </c>
      <c r="J137" s="25">
        <v>885</v>
      </c>
      <c r="K137" s="25">
        <v>475</v>
      </c>
      <c r="L137" s="25">
        <v>410</v>
      </c>
      <c r="M137" s="25"/>
      <c r="N137" s="25"/>
      <c r="O137" s="25"/>
      <c r="P137" s="25"/>
      <c r="Q137" s="25"/>
      <c r="R137" s="25"/>
      <c r="S137" s="35">
        <v>43880</v>
      </c>
      <c r="T137" s="51">
        <v>43862</v>
      </c>
      <c r="U137" s="25"/>
      <c r="V137" s="25"/>
      <c r="W137" s="25" t="s">
        <v>630</v>
      </c>
      <c r="X137" s="25" t="s">
        <v>631</v>
      </c>
      <c r="Y137" s="25"/>
      <c r="Z137" s="25"/>
      <c r="AA137" s="25"/>
      <c r="AB137" s="25"/>
      <c r="AC137" s="25" t="str">
        <f>TRIM(StudentScore[[#This Row],[Student Email]])</f>
        <v>soksedtha.ly@student.mahidol.ac.th</v>
      </c>
    </row>
    <row r="138" spans="1:29" ht="27">
      <c r="A138" s="15">
        <v>132</v>
      </c>
      <c r="B138" s="16">
        <f t="shared" si="12"/>
        <v>62</v>
      </c>
      <c r="C138" s="27">
        <f t="shared" si="13"/>
        <v>2022</v>
      </c>
      <c r="D138" s="54"/>
      <c r="E138" s="17">
        <v>6288001</v>
      </c>
      <c r="F138" s="14" t="s">
        <v>117</v>
      </c>
      <c r="G138" s="14" t="s">
        <v>632</v>
      </c>
      <c r="H138" s="18" t="s">
        <v>633</v>
      </c>
      <c r="I138" s="25" t="s">
        <v>102</v>
      </c>
      <c r="J138" s="25">
        <v>78</v>
      </c>
      <c r="K138" s="25"/>
      <c r="L138" s="25"/>
      <c r="M138" s="25"/>
      <c r="N138" s="25"/>
      <c r="O138" s="25"/>
      <c r="P138" s="25"/>
      <c r="Q138" s="25"/>
      <c r="R138" s="25"/>
      <c r="S138" s="25"/>
      <c r="T138" s="51">
        <v>44531</v>
      </c>
      <c r="U138" s="25"/>
      <c r="V138" s="25"/>
      <c r="W138" s="25" t="s">
        <v>634</v>
      </c>
      <c r="X138" s="25" t="s">
        <v>635</v>
      </c>
      <c r="Y138" s="25"/>
      <c r="Z138" s="25"/>
      <c r="AA138" s="25"/>
      <c r="AB138" s="25"/>
      <c r="AC138" s="25" t="str">
        <f>TRIM(StudentScore[[#This Row],[Student Email]])</f>
        <v>siriwimon.ain@student.mahidol.ac.th</v>
      </c>
    </row>
    <row r="139" spans="1:29" ht="27">
      <c r="A139" s="15">
        <v>133</v>
      </c>
      <c r="B139" s="16">
        <f t="shared" si="12"/>
        <v>62</v>
      </c>
      <c r="C139" s="27">
        <f t="shared" si="13"/>
        <v>2022</v>
      </c>
      <c r="D139" s="54"/>
      <c r="E139" s="17">
        <v>6288002</v>
      </c>
      <c r="F139" s="14" t="s">
        <v>38</v>
      </c>
      <c r="G139" s="14" t="s">
        <v>636</v>
      </c>
      <c r="H139" s="18" t="s">
        <v>637</v>
      </c>
      <c r="I139" s="25" t="s">
        <v>41</v>
      </c>
      <c r="J139" s="25">
        <v>583</v>
      </c>
      <c r="K139" s="25">
        <v>60</v>
      </c>
      <c r="L139" s="25">
        <v>58</v>
      </c>
      <c r="M139" s="25">
        <v>57</v>
      </c>
      <c r="N139" s="25"/>
      <c r="O139" s="25"/>
      <c r="P139" s="25"/>
      <c r="Q139" s="25"/>
      <c r="R139" s="25"/>
      <c r="S139" s="26">
        <v>44754</v>
      </c>
      <c r="T139" s="51">
        <v>44774</v>
      </c>
      <c r="U139" s="25"/>
      <c r="V139" s="25"/>
      <c r="W139" s="25" t="s">
        <v>638</v>
      </c>
      <c r="X139" s="25" t="s">
        <v>639</v>
      </c>
      <c r="Y139" s="25"/>
      <c r="Z139" s="25"/>
      <c r="AA139" s="25"/>
      <c r="AB139" s="25"/>
      <c r="AC139" s="25" t="str">
        <f>TRIM(StudentScore[[#This Row],[Student Email]])</f>
        <v>cherdrush.api@student.mahidol.ac.th</v>
      </c>
    </row>
    <row r="140" spans="1:29" ht="27">
      <c r="A140" s="15">
        <v>134</v>
      </c>
      <c r="B140" s="16">
        <f t="shared" si="12"/>
        <v>62</v>
      </c>
      <c r="C140" s="27">
        <f t="shared" si="13"/>
        <v>2022</v>
      </c>
      <c r="D140" s="54"/>
      <c r="E140" s="17">
        <v>6288003</v>
      </c>
      <c r="F140" s="14" t="s">
        <v>38</v>
      </c>
      <c r="G140" s="14" t="s">
        <v>640</v>
      </c>
      <c r="H140" s="18" t="s">
        <v>641</v>
      </c>
      <c r="I140" s="25" t="s">
        <v>102</v>
      </c>
      <c r="J140" s="63">
        <v>94</v>
      </c>
      <c r="K140" s="25"/>
      <c r="L140" s="25"/>
      <c r="M140" s="25"/>
      <c r="N140" s="25"/>
      <c r="O140" s="25"/>
      <c r="P140" s="25"/>
      <c r="Q140" s="25"/>
      <c r="R140" s="25"/>
      <c r="S140" s="35">
        <v>45021</v>
      </c>
      <c r="T140" s="35">
        <v>45028</v>
      </c>
      <c r="U140" s="25"/>
      <c r="V140" s="25"/>
      <c r="W140" s="25" t="s">
        <v>642</v>
      </c>
      <c r="X140" s="25" t="s">
        <v>643</v>
      </c>
      <c r="Y140" s="25"/>
      <c r="Z140" s="25"/>
      <c r="AA140" s="25"/>
      <c r="AB140" s="25"/>
      <c r="AC140" s="25" t="str">
        <f>TRIM(StudentScore[[#This Row],[Student Email]])</f>
        <v>pubas.dee@student.mahidol.ac.th</v>
      </c>
    </row>
    <row r="141" spans="1:29" ht="27">
      <c r="A141" s="15">
        <v>135</v>
      </c>
      <c r="B141" s="16">
        <f t="shared" si="12"/>
        <v>62</v>
      </c>
      <c r="C141" s="27">
        <f t="shared" si="13"/>
        <v>2022</v>
      </c>
      <c r="D141" s="54"/>
      <c r="E141" s="17">
        <v>6288004</v>
      </c>
      <c r="F141" s="14" t="s">
        <v>38</v>
      </c>
      <c r="G141" s="14" t="s">
        <v>644</v>
      </c>
      <c r="H141" s="18" t="s">
        <v>645</v>
      </c>
      <c r="I141" s="25" t="s">
        <v>102</v>
      </c>
      <c r="J141" s="25">
        <v>90</v>
      </c>
      <c r="K141" s="25"/>
      <c r="L141" s="25"/>
      <c r="M141" s="25"/>
      <c r="N141" s="25"/>
      <c r="O141" s="25"/>
      <c r="P141" s="25"/>
      <c r="Q141" s="25"/>
      <c r="R141" s="25"/>
      <c r="S141" s="25"/>
      <c r="T141" s="51">
        <v>44531</v>
      </c>
      <c r="U141" s="25"/>
      <c r="V141" s="25"/>
      <c r="W141" s="25" t="s">
        <v>646</v>
      </c>
      <c r="X141" s="25" t="s">
        <v>647</v>
      </c>
      <c r="Y141" s="25"/>
      <c r="Z141" s="25"/>
      <c r="AA141" s="25"/>
      <c r="AB141" s="25"/>
      <c r="AC141" s="25" t="str">
        <f>TRIM(StudentScore[[#This Row],[Student Email]])</f>
        <v>panhavath.met@student.mahidol.ac.th</v>
      </c>
    </row>
    <row r="142" spans="1:29" ht="27">
      <c r="A142" s="15">
        <v>136</v>
      </c>
      <c r="B142" s="16">
        <f t="shared" si="12"/>
        <v>62</v>
      </c>
      <c r="C142" s="27">
        <f t="shared" si="13"/>
        <v>2022</v>
      </c>
      <c r="D142" s="54"/>
      <c r="E142" s="17">
        <v>6288005</v>
      </c>
      <c r="F142" s="14" t="s">
        <v>38</v>
      </c>
      <c r="G142" s="14" t="s">
        <v>648</v>
      </c>
      <c r="H142" s="18" t="s">
        <v>649</v>
      </c>
      <c r="I142" s="25" t="s">
        <v>244</v>
      </c>
      <c r="J142" s="25"/>
      <c r="K142" s="25"/>
      <c r="L142" s="25"/>
      <c r="M142" s="25"/>
      <c r="N142" s="25"/>
      <c r="O142" s="25"/>
      <c r="P142" s="25"/>
      <c r="Q142" s="25"/>
      <c r="R142" s="25"/>
      <c r="S142" s="26">
        <v>44754</v>
      </c>
      <c r="T142" s="51">
        <v>44774</v>
      </c>
      <c r="U142" s="25"/>
      <c r="V142" s="25"/>
      <c r="W142" s="25"/>
      <c r="X142" s="25" t="s">
        <v>650</v>
      </c>
      <c r="Y142" s="25"/>
      <c r="Z142" s="25"/>
      <c r="AA142" s="25"/>
      <c r="AB142" s="25"/>
      <c r="AC142" s="25" t="str">
        <f>TRIM(StudentScore[[#This Row],[Student Email]])</f>
        <v>thanva.gri@student.mahidol.ac.th</v>
      </c>
    </row>
    <row r="143" spans="1:29" ht="27">
      <c r="A143" s="15">
        <v>137</v>
      </c>
      <c r="B143" s="16">
        <f t="shared" si="12"/>
        <v>62</v>
      </c>
      <c r="C143" s="27">
        <f t="shared" si="13"/>
        <v>2022</v>
      </c>
      <c r="D143" s="54"/>
      <c r="E143" s="17">
        <v>6288006</v>
      </c>
      <c r="F143" s="14" t="s">
        <v>117</v>
      </c>
      <c r="G143" s="14" t="s">
        <v>651</v>
      </c>
      <c r="H143" s="18" t="s">
        <v>652</v>
      </c>
      <c r="I143" s="25" t="s">
        <v>102</v>
      </c>
      <c r="J143" s="25">
        <v>91</v>
      </c>
      <c r="K143" s="25"/>
      <c r="L143" s="25"/>
      <c r="M143" s="25"/>
      <c r="N143" s="25"/>
      <c r="O143" s="25"/>
      <c r="P143" s="25"/>
      <c r="Q143" s="25"/>
      <c r="R143" s="25"/>
      <c r="S143" s="25"/>
      <c r="T143" s="51">
        <v>44531</v>
      </c>
      <c r="U143" s="25"/>
      <c r="V143" s="25"/>
      <c r="W143" s="25" t="s">
        <v>653</v>
      </c>
      <c r="X143" s="25" t="s">
        <v>654</v>
      </c>
      <c r="Y143" s="25"/>
      <c r="Z143" s="25"/>
      <c r="AA143" s="25"/>
      <c r="AB143" s="25"/>
      <c r="AC143" s="25" t="str">
        <f>TRIM(StudentScore[[#This Row],[Student Email]])</f>
        <v>jiratchaya.ben@student.mahidol.ac.th</v>
      </c>
    </row>
    <row r="144" spans="1:29" ht="27">
      <c r="A144" s="15">
        <v>138</v>
      </c>
      <c r="B144" s="16">
        <f t="shared" si="12"/>
        <v>62</v>
      </c>
      <c r="C144" s="27">
        <f t="shared" si="13"/>
        <v>2022</v>
      </c>
      <c r="D144" s="54"/>
      <c r="E144" s="17">
        <v>6288007</v>
      </c>
      <c r="F144" s="14" t="s">
        <v>38</v>
      </c>
      <c r="G144" s="14" t="s">
        <v>655</v>
      </c>
      <c r="H144" s="18" t="s">
        <v>656</v>
      </c>
      <c r="I144" s="25" t="s">
        <v>64</v>
      </c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 t="s">
        <v>657</v>
      </c>
      <c r="X144" s="25" t="s">
        <v>658</v>
      </c>
      <c r="Y144" s="25"/>
      <c r="Z144" s="25"/>
      <c r="AA144" s="25"/>
      <c r="AB144" s="25"/>
      <c r="AC144" s="25" t="str">
        <f>TRIM(StudentScore[[#This Row],[Student Email]])</f>
        <v>kritsadaporn.boo@student.mahidol.ac.th</v>
      </c>
    </row>
    <row r="145" spans="1:29" ht="27">
      <c r="A145" s="15">
        <v>139</v>
      </c>
      <c r="B145" s="16">
        <f t="shared" si="12"/>
        <v>62</v>
      </c>
      <c r="C145" s="27">
        <f t="shared" si="13"/>
        <v>2022</v>
      </c>
      <c r="D145" s="54"/>
      <c r="E145" s="17">
        <v>6288008</v>
      </c>
      <c r="F145" s="14" t="s">
        <v>117</v>
      </c>
      <c r="G145" s="14" t="s">
        <v>659</v>
      </c>
      <c r="H145" s="18" t="s">
        <v>660</v>
      </c>
      <c r="I145" s="25" t="s">
        <v>48</v>
      </c>
      <c r="J145" s="25">
        <v>715</v>
      </c>
      <c r="K145" s="25">
        <v>415</v>
      </c>
      <c r="L145" s="25">
        <v>300</v>
      </c>
      <c r="M145" s="25"/>
      <c r="N145" s="25"/>
      <c r="O145" s="25"/>
      <c r="P145" s="25"/>
      <c r="Q145" s="25"/>
      <c r="R145" s="25"/>
      <c r="S145" s="35">
        <v>43575</v>
      </c>
      <c r="T145" s="51">
        <v>43678</v>
      </c>
      <c r="U145" s="25"/>
      <c r="V145" s="25"/>
      <c r="W145" s="25" t="s">
        <v>661</v>
      </c>
      <c r="X145" s="25" t="s">
        <v>662</v>
      </c>
      <c r="Y145" s="25"/>
      <c r="Z145" s="25"/>
      <c r="AA145" s="25"/>
      <c r="AB145" s="25"/>
      <c r="AC145" s="25" t="str">
        <f>TRIM(StudentScore[[#This Row],[Student Email]])</f>
        <v>kanyakorn.vip@student.mahidol.ac.th</v>
      </c>
    </row>
    <row r="146" spans="1:29" ht="27">
      <c r="A146" s="15">
        <v>140</v>
      </c>
      <c r="B146" s="16">
        <f t="shared" si="12"/>
        <v>62</v>
      </c>
      <c r="C146" s="27">
        <f t="shared" si="13"/>
        <v>2022</v>
      </c>
      <c r="D146" s="54"/>
      <c r="E146" s="17">
        <v>6288009</v>
      </c>
      <c r="F146" s="14" t="s">
        <v>117</v>
      </c>
      <c r="G146" s="14" t="s">
        <v>663</v>
      </c>
      <c r="H146" s="18" t="s">
        <v>664</v>
      </c>
      <c r="I146" s="25" t="s">
        <v>53</v>
      </c>
      <c r="J146" s="25">
        <v>100</v>
      </c>
      <c r="K146" s="25">
        <v>49</v>
      </c>
      <c r="L146" s="25">
        <v>51</v>
      </c>
      <c r="M146" s="25"/>
      <c r="N146" s="25"/>
      <c r="O146" s="25"/>
      <c r="P146" s="25"/>
      <c r="Q146" s="25"/>
      <c r="R146" s="25"/>
      <c r="S146" s="35">
        <v>44160</v>
      </c>
      <c r="T146" s="51">
        <v>44166</v>
      </c>
      <c r="U146" s="25"/>
      <c r="V146" s="25"/>
      <c r="W146" s="25" t="s">
        <v>665</v>
      </c>
      <c r="X146" s="25" t="s">
        <v>666</v>
      </c>
      <c r="Y146" s="25"/>
      <c r="Z146" s="25"/>
      <c r="AA146" s="25"/>
      <c r="AB146" s="25"/>
      <c r="AC146" s="25" t="str">
        <f>TRIM(StudentScore[[#This Row],[Student Email]])</f>
        <v>chotikarn.cha@student.mahidol.ac.th</v>
      </c>
    </row>
    <row r="147" spans="1:29" ht="27">
      <c r="A147" s="15">
        <v>141</v>
      </c>
      <c r="B147" s="16">
        <f t="shared" si="12"/>
        <v>62</v>
      </c>
      <c r="C147" s="27">
        <f t="shared" si="13"/>
        <v>2022</v>
      </c>
      <c r="D147" s="54"/>
      <c r="E147" s="19">
        <v>6288010</v>
      </c>
      <c r="F147" s="20" t="s">
        <v>38</v>
      </c>
      <c r="G147" s="14" t="s">
        <v>667</v>
      </c>
      <c r="H147" s="18" t="s">
        <v>668</v>
      </c>
      <c r="I147" s="25" t="s">
        <v>102</v>
      </c>
      <c r="J147" s="25">
        <v>75</v>
      </c>
      <c r="K147" s="25"/>
      <c r="L147" s="25"/>
      <c r="M147" s="25"/>
      <c r="N147" s="25"/>
      <c r="O147" s="25"/>
      <c r="P147" s="25"/>
      <c r="Q147" s="25"/>
      <c r="R147" s="25"/>
      <c r="S147" s="25"/>
      <c r="T147" s="51">
        <v>44682</v>
      </c>
      <c r="U147" s="25"/>
      <c r="V147" s="25"/>
      <c r="W147" s="25" t="s">
        <v>669</v>
      </c>
      <c r="X147" s="25" t="s">
        <v>670</v>
      </c>
      <c r="Y147" s="25"/>
      <c r="Z147" s="25"/>
      <c r="AA147" s="25"/>
      <c r="AB147" s="25"/>
      <c r="AC147" s="25" t="str">
        <f>TRIM(StudentScore[[#This Row],[Student Email]])</f>
        <v>nakamon.nut@student.mahidol.ac.th</v>
      </c>
    </row>
    <row r="148" spans="1:29" ht="27">
      <c r="A148" s="15">
        <v>142</v>
      </c>
      <c r="B148" s="16">
        <f t="shared" si="12"/>
        <v>62</v>
      </c>
      <c r="C148" s="27">
        <f t="shared" si="13"/>
        <v>2022</v>
      </c>
      <c r="D148" s="54"/>
      <c r="E148" s="21">
        <v>6288011</v>
      </c>
      <c r="F148" s="22" t="s">
        <v>117</v>
      </c>
      <c r="G148" s="14" t="s">
        <v>671</v>
      </c>
      <c r="H148" s="18" t="s">
        <v>672</v>
      </c>
      <c r="I148" s="25" t="s">
        <v>102</v>
      </c>
      <c r="J148" s="25">
        <v>79</v>
      </c>
      <c r="K148" s="25"/>
      <c r="L148" s="25"/>
      <c r="M148" s="25"/>
      <c r="N148" s="25"/>
      <c r="O148" s="25"/>
      <c r="P148" s="25"/>
      <c r="Q148" s="25"/>
      <c r="R148" s="25"/>
      <c r="S148" s="35">
        <v>45021</v>
      </c>
      <c r="T148" s="35">
        <v>45034</v>
      </c>
      <c r="U148" s="25"/>
      <c r="V148" s="25"/>
      <c r="W148" s="25" t="s">
        <v>673</v>
      </c>
      <c r="X148" s="25" t="s">
        <v>674</v>
      </c>
      <c r="Y148" s="25"/>
      <c r="Z148" s="25"/>
      <c r="AA148" s="25"/>
      <c r="AB148" s="25"/>
      <c r="AC148" s="25" t="str">
        <f>TRIM(StudentScore[[#This Row],[Student Email]])</f>
        <v>parinthorn.cha@student.mahidol.ac.th</v>
      </c>
    </row>
    <row r="149" spans="1:29" ht="27">
      <c r="A149" s="15">
        <v>143</v>
      </c>
      <c r="B149" s="16">
        <f t="shared" si="12"/>
        <v>62</v>
      </c>
      <c r="C149" s="27">
        <f t="shared" si="13"/>
        <v>2022</v>
      </c>
      <c r="D149" s="54"/>
      <c r="E149" s="17">
        <v>6288012</v>
      </c>
      <c r="F149" s="14" t="s">
        <v>38</v>
      </c>
      <c r="G149" s="14" t="s">
        <v>675</v>
      </c>
      <c r="H149" s="18" t="s">
        <v>676</v>
      </c>
      <c r="I149" s="25" t="s">
        <v>244</v>
      </c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 t="s">
        <v>677</v>
      </c>
      <c r="Y149" s="25"/>
      <c r="Z149" s="25"/>
      <c r="AA149" s="25"/>
      <c r="AB149" s="25"/>
      <c r="AC149" s="25" t="str">
        <f>TRIM(StudentScore[[#This Row],[Student Email]])</f>
        <v>supasan.lie@student.mahidol.ac.th</v>
      </c>
    </row>
    <row r="150" spans="1:29" ht="27">
      <c r="A150" s="15">
        <v>144</v>
      </c>
      <c r="B150" s="16">
        <f t="shared" si="12"/>
        <v>62</v>
      </c>
      <c r="C150" s="27">
        <f t="shared" si="13"/>
        <v>2022</v>
      </c>
      <c r="D150" s="54"/>
      <c r="E150" s="17">
        <v>6288013</v>
      </c>
      <c r="F150" s="14" t="s">
        <v>38</v>
      </c>
      <c r="G150" s="14" t="s">
        <v>678</v>
      </c>
      <c r="H150" s="18" t="s">
        <v>679</v>
      </c>
      <c r="I150" s="25" t="s">
        <v>133</v>
      </c>
      <c r="J150" s="25">
        <v>105</v>
      </c>
      <c r="K150" s="25"/>
      <c r="L150" s="25"/>
      <c r="M150" s="25"/>
      <c r="N150" s="25"/>
      <c r="O150" s="25"/>
      <c r="P150" s="25"/>
      <c r="Q150" s="25"/>
      <c r="R150" s="25"/>
      <c r="S150" s="35">
        <v>44144</v>
      </c>
      <c r="T150" s="51">
        <v>44136</v>
      </c>
      <c r="U150" s="25"/>
      <c r="V150" s="25"/>
      <c r="W150" s="25" t="s">
        <v>680</v>
      </c>
      <c r="X150" s="25" t="s">
        <v>681</v>
      </c>
      <c r="Y150" s="25"/>
      <c r="Z150" s="25"/>
      <c r="AA150" s="25"/>
      <c r="AB150" s="25"/>
      <c r="AC150" s="25" t="str">
        <f>TRIM(StudentScore[[#This Row],[Student Email]])</f>
        <v>metasit.get@student.mahidol.ac.th</v>
      </c>
    </row>
    <row r="151" spans="1:29" ht="27">
      <c r="A151" s="15">
        <v>145</v>
      </c>
      <c r="B151" s="16">
        <f t="shared" si="12"/>
        <v>62</v>
      </c>
      <c r="C151" s="27">
        <f t="shared" si="13"/>
        <v>2022</v>
      </c>
      <c r="D151" s="54"/>
      <c r="E151" s="17">
        <v>6288014</v>
      </c>
      <c r="F151" s="14" t="s">
        <v>117</v>
      </c>
      <c r="G151" s="14" t="s">
        <v>682</v>
      </c>
      <c r="H151" s="18" t="s">
        <v>683</v>
      </c>
      <c r="I151" s="25" t="s">
        <v>53</v>
      </c>
      <c r="J151" s="25">
        <v>105</v>
      </c>
      <c r="K151" s="25">
        <v>47</v>
      </c>
      <c r="L151" s="25">
        <v>58</v>
      </c>
      <c r="M151" s="25"/>
      <c r="N151" s="25"/>
      <c r="O151" s="25"/>
      <c r="P151" s="25"/>
      <c r="Q151" s="25"/>
      <c r="R151" s="25"/>
      <c r="S151" s="35">
        <v>44160</v>
      </c>
      <c r="T151" s="51">
        <v>44197</v>
      </c>
      <c r="U151" s="25"/>
      <c r="V151" s="25"/>
      <c r="W151" s="25" t="s">
        <v>684</v>
      </c>
      <c r="X151" s="25" t="s">
        <v>685</v>
      </c>
      <c r="Y151" s="25"/>
      <c r="Z151" s="25"/>
      <c r="AA151" s="25"/>
      <c r="AB151" s="25"/>
      <c r="AC151" s="25" t="str">
        <f>TRIM(StudentScore[[#This Row],[Student Email]])</f>
        <v>sathita.int@student.mahidol.ac.th</v>
      </c>
    </row>
    <row r="152" spans="1:29" ht="27">
      <c r="A152" s="15">
        <v>146</v>
      </c>
      <c r="B152" s="16">
        <f t="shared" si="12"/>
        <v>62</v>
      </c>
      <c r="C152" s="27">
        <f t="shared" si="13"/>
        <v>2022</v>
      </c>
      <c r="D152" s="54"/>
      <c r="E152" s="17">
        <v>6288015</v>
      </c>
      <c r="F152" s="14" t="s">
        <v>38</v>
      </c>
      <c r="G152" s="14" t="s">
        <v>686</v>
      </c>
      <c r="H152" s="18" t="s">
        <v>687</v>
      </c>
      <c r="I152" s="25" t="s">
        <v>48</v>
      </c>
      <c r="J152" s="25">
        <v>945</v>
      </c>
      <c r="K152" s="25">
        <v>485</v>
      </c>
      <c r="L152" s="25">
        <v>460</v>
      </c>
      <c r="M152" s="25"/>
      <c r="N152" s="25"/>
      <c r="O152" s="25"/>
      <c r="P152" s="25"/>
      <c r="Q152" s="25"/>
      <c r="R152" s="25"/>
      <c r="S152" s="26">
        <v>44914</v>
      </c>
      <c r="T152" s="35">
        <v>45065</v>
      </c>
      <c r="U152" s="25"/>
      <c r="V152" s="25" t="s">
        <v>688</v>
      </c>
      <c r="W152" s="25" t="s">
        <v>689</v>
      </c>
      <c r="X152" s="25" t="s">
        <v>690</v>
      </c>
      <c r="Y152" s="42">
        <v>45042.495729166665</v>
      </c>
      <c r="Z152" s="25" t="s">
        <v>691</v>
      </c>
      <c r="AA152" s="25"/>
      <c r="AB152" s="25"/>
      <c r="AC152" s="25" t="str">
        <f>TRIM(StudentScore[[#This Row],[Student Email]])</f>
        <v>karntrin.jan@student.mahidol.ac.th</v>
      </c>
    </row>
    <row r="153" spans="1:29" ht="27">
      <c r="A153" s="15">
        <v>147</v>
      </c>
      <c r="B153" s="16">
        <f t="shared" si="12"/>
        <v>62</v>
      </c>
      <c r="C153" s="27">
        <f t="shared" si="13"/>
        <v>2022</v>
      </c>
      <c r="D153" s="54"/>
      <c r="E153" s="17">
        <v>6288016</v>
      </c>
      <c r="F153" s="14" t="s">
        <v>38</v>
      </c>
      <c r="G153" s="14" t="s">
        <v>692</v>
      </c>
      <c r="H153" s="18" t="s">
        <v>693</v>
      </c>
      <c r="I153" s="25" t="s">
        <v>102</v>
      </c>
      <c r="J153" s="25">
        <v>89</v>
      </c>
      <c r="K153" s="25"/>
      <c r="L153" s="25"/>
      <c r="M153" s="25"/>
      <c r="N153" s="25"/>
      <c r="O153" s="25"/>
      <c r="P153" s="25"/>
      <c r="Q153" s="25"/>
      <c r="R153" s="25"/>
      <c r="S153" s="25"/>
      <c r="T153" s="51">
        <v>44682</v>
      </c>
      <c r="U153" s="25"/>
      <c r="V153" s="25"/>
      <c r="W153" s="25" t="s">
        <v>694</v>
      </c>
      <c r="X153" s="25" t="s">
        <v>695</v>
      </c>
      <c r="Y153" s="25"/>
      <c r="Z153" s="25"/>
      <c r="AA153" s="25"/>
      <c r="AB153" s="25"/>
      <c r="AC153" s="25" t="str">
        <f>TRIM(StudentScore[[#This Row],[Student Email]])</f>
        <v>satayu.nar@student.mahidol.ac.th</v>
      </c>
    </row>
    <row r="154" spans="1:29" ht="27">
      <c r="A154" s="15">
        <v>148</v>
      </c>
      <c r="B154" s="16">
        <f t="shared" si="12"/>
        <v>62</v>
      </c>
      <c r="C154" s="27">
        <f t="shared" si="13"/>
        <v>2022</v>
      </c>
      <c r="D154" s="54"/>
      <c r="E154" s="17">
        <v>6288017</v>
      </c>
      <c r="F154" s="14" t="s">
        <v>38</v>
      </c>
      <c r="G154" s="14" t="s">
        <v>696</v>
      </c>
      <c r="H154" s="18" t="s">
        <v>697</v>
      </c>
      <c r="I154" s="25" t="s">
        <v>48</v>
      </c>
      <c r="J154" s="25">
        <v>895</v>
      </c>
      <c r="K154" s="25">
        <v>445</v>
      </c>
      <c r="L154" s="25">
        <v>450</v>
      </c>
      <c r="M154" s="25"/>
      <c r="N154" s="25"/>
      <c r="O154" s="25"/>
      <c r="P154" s="25"/>
      <c r="Q154" s="25"/>
      <c r="R154" s="25"/>
      <c r="S154" s="35">
        <v>44153</v>
      </c>
      <c r="T154" s="51">
        <v>44136</v>
      </c>
      <c r="U154" s="25"/>
      <c r="V154" s="25"/>
      <c r="W154" s="25" t="s">
        <v>698</v>
      </c>
      <c r="X154" s="25" t="s">
        <v>699</v>
      </c>
      <c r="Y154" s="25"/>
      <c r="Z154" s="25"/>
      <c r="AA154" s="25"/>
      <c r="AB154" s="25"/>
      <c r="AC154" s="25" t="str">
        <f>TRIM(StudentScore[[#This Row],[Student Email]])</f>
        <v>vacharavich.jir@student.mahidol.ac.th</v>
      </c>
    </row>
    <row r="155" spans="1:29" ht="27">
      <c r="A155" s="15">
        <v>149</v>
      </c>
      <c r="B155" s="16">
        <f t="shared" si="12"/>
        <v>62</v>
      </c>
      <c r="C155" s="27">
        <f t="shared" si="13"/>
        <v>2022</v>
      </c>
      <c r="D155" s="54"/>
      <c r="E155" s="17">
        <v>6288018</v>
      </c>
      <c r="F155" s="14" t="s">
        <v>38</v>
      </c>
      <c r="G155" s="14" t="s">
        <v>700</v>
      </c>
      <c r="H155" s="18" t="s">
        <v>701</v>
      </c>
      <c r="I155" s="25" t="s">
        <v>53</v>
      </c>
      <c r="J155" s="25">
        <v>136</v>
      </c>
      <c r="K155" s="25">
        <v>65</v>
      </c>
      <c r="L155" s="25">
        <v>71</v>
      </c>
      <c r="M155" s="25"/>
      <c r="N155" s="25"/>
      <c r="O155" s="25"/>
      <c r="P155" s="25"/>
      <c r="Q155" s="25"/>
      <c r="R155" s="25"/>
      <c r="S155" s="26">
        <v>44613</v>
      </c>
      <c r="T155" s="25"/>
      <c r="U155" s="25"/>
      <c r="V155" s="25"/>
      <c r="W155" s="25" t="s">
        <v>702</v>
      </c>
      <c r="X155" s="25" t="s">
        <v>703</v>
      </c>
      <c r="Y155" s="42">
        <v>44635.503530092596</v>
      </c>
      <c r="Z155" s="25" t="s">
        <v>704</v>
      </c>
      <c r="AA155" s="25"/>
      <c r="AB155" s="25"/>
      <c r="AC155" s="25" t="str">
        <f>TRIM(StudentScore[[#This Row],[Student Email]])</f>
        <v>thanapat.jum@student.mahidol.ac.th</v>
      </c>
    </row>
    <row r="156" spans="1:29" ht="27">
      <c r="A156" s="15">
        <v>150</v>
      </c>
      <c r="B156" s="16">
        <f t="shared" si="12"/>
        <v>62</v>
      </c>
      <c r="C156" s="27">
        <f t="shared" si="13"/>
        <v>2022</v>
      </c>
      <c r="D156" s="54"/>
      <c r="E156" s="17">
        <v>6288019</v>
      </c>
      <c r="F156" s="14" t="s">
        <v>117</v>
      </c>
      <c r="G156" s="14" t="s">
        <v>705</v>
      </c>
      <c r="H156" s="18" t="s">
        <v>706</v>
      </c>
      <c r="I156" s="25" t="s">
        <v>244</v>
      </c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 t="s">
        <v>707</v>
      </c>
      <c r="Y156" s="25"/>
      <c r="Z156" s="25"/>
      <c r="AA156" s="25"/>
      <c r="AB156" s="25"/>
      <c r="AC156" s="25" t="str">
        <f>TRIM(StudentScore[[#This Row],[Student Email]])</f>
        <v>natcha.koe@student.mahidol.ac.th</v>
      </c>
    </row>
    <row r="157" spans="1:29" ht="27">
      <c r="A157" s="15">
        <v>151</v>
      </c>
      <c r="B157" s="16">
        <f t="shared" si="12"/>
        <v>62</v>
      </c>
      <c r="C157" s="27">
        <f t="shared" si="13"/>
        <v>2022</v>
      </c>
      <c r="D157" s="54"/>
      <c r="E157" s="17">
        <v>6288020</v>
      </c>
      <c r="F157" s="14" t="s">
        <v>117</v>
      </c>
      <c r="G157" s="14" t="s">
        <v>708</v>
      </c>
      <c r="H157" s="18" t="s">
        <v>709</v>
      </c>
      <c r="I157" s="25" t="s">
        <v>53</v>
      </c>
      <c r="J157" s="25">
        <v>114</v>
      </c>
      <c r="K157" s="25">
        <v>64</v>
      </c>
      <c r="L157" s="25">
        <v>50</v>
      </c>
      <c r="M157" s="25"/>
      <c r="N157" s="25"/>
      <c r="O157" s="25"/>
      <c r="P157" s="25"/>
      <c r="Q157" s="25"/>
      <c r="R157" s="25"/>
      <c r="S157" s="26">
        <v>44519</v>
      </c>
      <c r="T157" s="25"/>
      <c r="U157" s="25"/>
      <c r="V157" s="25"/>
      <c r="W157" s="25" t="s">
        <v>710</v>
      </c>
      <c r="X157" s="25" t="s">
        <v>711</v>
      </c>
      <c r="Y157" s="42">
        <v>44599.654374999998</v>
      </c>
      <c r="Z157" s="25" t="s">
        <v>712</v>
      </c>
      <c r="AA157" s="25"/>
      <c r="AB157" s="25"/>
      <c r="AC157" s="25" t="str">
        <f>TRIM(StudentScore[[#This Row],[Student Email]])</f>
        <v>urisayar.kae@student.mahidol.ac.th</v>
      </c>
    </row>
    <row r="158" spans="1:29" ht="27">
      <c r="A158" s="15">
        <v>152</v>
      </c>
      <c r="B158" s="16">
        <f t="shared" si="12"/>
        <v>62</v>
      </c>
      <c r="C158" s="27">
        <f t="shared" si="13"/>
        <v>2022</v>
      </c>
      <c r="D158" s="54"/>
      <c r="E158" s="17">
        <v>6288021</v>
      </c>
      <c r="F158" s="14" t="s">
        <v>117</v>
      </c>
      <c r="G158" s="14" t="s">
        <v>713</v>
      </c>
      <c r="H158" s="18" t="s">
        <v>714</v>
      </c>
      <c r="I158" s="25" t="s">
        <v>124</v>
      </c>
      <c r="J158" s="25">
        <v>6</v>
      </c>
      <c r="K158" s="25">
        <v>7</v>
      </c>
      <c r="L158" s="25">
        <v>6.5</v>
      </c>
      <c r="M158" s="25">
        <v>5.5</v>
      </c>
      <c r="N158" s="25">
        <v>5.5</v>
      </c>
      <c r="O158" s="25"/>
      <c r="P158" s="25"/>
      <c r="Q158" s="25"/>
      <c r="R158" s="25"/>
      <c r="S158" s="35">
        <v>43666</v>
      </c>
      <c r="T158" s="51">
        <v>43678</v>
      </c>
      <c r="U158" s="25"/>
      <c r="V158" s="25"/>
      <c r="W158" s="25" t="s">
        <v>715</v>
      </c>
      <c r="X158" s="25" t="s">
        <v>716</v>
      </c>
      <c r="Y158" s="25"/>
      <c r="Z158" s="25"/>
      <c r="AA158" s="25"/>
      <c r="AB158" s="25"/>
      <c r="AC158" s="25" t="str">
        <f>TRIM(StudentScore[[#This Row],[Student Email]])</f>
        <v>pimsuang.kan@student.mahidol.ac.th</v>
      </c>
    </row>
    <row r="159" spans="1:29" ht="27">
      <c r="A159" s="15">
        <v>153</v>
      </c>
      <c r="B159" s="16">
        <f t="shared" si="12"/>
        <v>62</v>
      </c>
      <c r="C159" s="27">
        <f t="shared" si="13"/>
        <v>2022</v>
      </c>
      <c r="D159" s="54"/>
      <c r="E159" s="17">
        <v>6288022</v>
      </c>
      <c r="F159" s="14" t="s">
        <v>38</v>
      </c>
      <c r="G159" s="14" t="s">
        <v>717</v>
      </c>
      <c r="H159" s="18" t="s">
        <v>718</v>
      </c>
      <c r="I159" s="25" t="s">
        <v>48</v>
      </c>
      <c r="J159" s="25">
        <v>860</v>
      </c>
      <c r="K159" s="25">
        <v>485</v>
      </c>
      <c r="L159" s="25">
        <v>375</v>
      </c>
      <c r="M159" s="25"/>
      <c r="N159" s="25"/>
      <c r="O159" s="25"/>
      <c r="P159" s="25"/>
      <c r="Q159" s="25"/>
      <c r="R159" s="25"/>
      <c r="S159" s="35">
        <v>44776</v>
      </c>
      <c r="T159" s="51">
        <v>44774</v>
      </c>
      <c r="U159" s="25"/>
      <c r="V159" s="25"/>
      <c r="W159" s="25" t="s">
        <v>719</v>
      </c>
      <c r="X159" s="25" t="s">
        <v>720</v>
      </c>
      <c r="Y159" s="25"/>
      <c r="Z159" s="25"/>
      <c r="AA159" s="25"/>
      <c r="AB159" s="25"/>
      <c r="AC159" s="25" t="str">
        <f>TRIM(StudentScore[[#This Row],[Student Email]])</f>
        <v>woramate.kea@student.mahidol.ac.th</v>
      </c>
    </row>
    <row r="160" spans="1:29" ht="27">
      <c r="A160" s="15">
        <v>154</v>
      </c>
      <c r="B160" s="16">
        <f t="shared" si="12"/>
        <v>62</v>
      </c>
      <c r="C160" s="27">
        <f t="shared" si="13"/>
        <v>2022</v>
      </c>
      <c r="D160" s="54"/>
      <c r="E160" s="17">
        <v>6288023</v>
      </c>
      <c r="F160" s="14" t="s">
        <v>117</v>
      </c>
      <c r="G160" s="14" t="s">
        <v>721</v>
      </c>
      <c r="H160" s="18" t="s">
        <v>722</v>
      </c>
      <c r="I160" s="25" t="s">
        <v>102</v>
      </c>
      <c r="J160" s="25">
        <v>89</v>
      </c>
      <c r="K160" s="25"/>
      <c r="L160" s="25"/>
      <c r="M160" s="25"/>
      <c r="N160" s="25"/>
      <c r="O160" s="25"/>
      <c r="P160" s="25"/>
      <c r="Q160" s="25"/>
      <c r="R160" s="25"/>
      <c r="S160" s="35">
        <v>44892</v>
      </c>
      <c r="T160" s="51">
        <v>44927</v>
      </c>
      <c r="U160" s="25"/>
      <c r="V160" s="25"/>
      <c r="W160" s="25" t="s">
        <v>723</v>
      </c>
      <c r="X160" s="25" t="s">
        <v>724</v>
      </c>
      <c r="Y160" s="25"/>
      <c r="Z160" s="25"/>
      <c r="AA160" s="25"/>
      <c r="AB160" s="25"/>
      <c r="AC160" s="25" t="str">
        <f>TRIM(StudentScore[[#This Row],[Student Email]])</f>
        <v>nichakorn.srp@student.mahidol.ac.th</v>
      </c>
    </row>
    <row r="161" spans="1:29" ht="27">
      <c r="A161" s="15">
        <v>155</v>
      </c>
      <c r="B161" s="16">
        <f t="shared" si="12"/>
        <v>62</v>
      </c>
      <c r="C161" s="27">
        <f t="shared" si="13"/>
        <v>2022</v>
      </c>
      <c r="D161" s="54"/>
      <c r="E161" s="17">
        <v>6288024</v>
      </c>
      <c r="F161" s="14" t="s">
        <v>38</v>
      </c>
      <c r="G161" s="14" t="s">
        <v>725</v>
      </c>
      <c r="H161" s="18" t="s">
        <v>726</v>
      </c>
      <c r="I161" s="25" t="s">
        <v>124</v>
      </c>
      <c r="J161" s="25">
        <v>6</v>
      </c>
      <c r="K161" s="25">
        <v>6.5</v>
      </c>
      <c r="L161" s="25">
        <v>6</v>
      </c>
      <c r="M161" s="25">
        <v>5.5</v>
      </c>
      <c r="N161" s="25">
        <v>6</v>
      </c>
      <c r="O161" s="25"/>
      <c r="P161" s="25"/>
      <c r="Q161" s="25"/>
      <c r="R161" s="25"/>
      <c r="S161" s="35">
        <v>43134</v>
      </c>
      <c r="T161" s="51">
        <v>43678</v>
      </c>
      <c r="U161" s="25"/>
      <c r="V161" s="25"/>
      <c r="W161" s="25" t="s">
        <v>727</v>
      </c>
      <c r="X161" s="25" t="s">
        <v>728</v>
      </c>
      <c r="Y161" s="25"/>
      <c r="Z161" s="25"/>
      <c r="AA161" s="25"/>
      <c r="AB161" s="25"/>
      <c r="AC161" s="25" t="str">
        <f>TRIM(StudentScore[[#This Row],[Student Email]])</f>
        <v>komsan.kon@student.mahidol.ac.th</v>
      </c>
    </row>
    <row r="162" spans="1:29" ht="27">
      <c r="A162" s="15">
        <v>156</v>
      </c>
      <c r="B162" s="16">
        <f t="shared" si="12"/>
        <v>62</v>
      </c>
      <c r="C162" s="27">
        <f t="shared" si="13"/>
        <v>2022</v>
      </c>
      <c r="D162" s="54"/>
      <c r="E162" s="17">
        <v>6288025</v>
      </c>
      <c r="F162" s="14" t="s">
        <v>38</v>
      </c>
      <c r="G162" s="14" t="s">
        <v>729</v>
      </c>
      <c r="H162" s="18" t="s">
        <v>730</v>
      </c>
      <c r="I162" s="25" t="s">
        <v>48</v>
      </c>
      <c r="J162" s="25">
        <v>860</v>
      </c>
      <c r="K162" s="25">
        <v>460</v>
      </c>
      <c r="L162" s="25">
        <v>400</v>
      </c>
      <c r="M162" s="25"/>
      <c r="N162" s="25"/>
      <c r="O162" s="25"/>
      <c r="P162" s="25"/>
      <c r="Q162" s="25"/>
      <c r="R162" s="25"/>
      <c r="S162" s="35">
        <v>43474</v>
      </c>
      <c r="T162" s="51">
        <v>43647</v>
      </c>
      <c r="U162" s="25"/>
      <c r="V162" s="25"/>
      <c r="W162" s="25" t="s">
        <v>731</v>
      </c>
      <c r="X162" s="25" t="s">
        <v>732</v>
      </c>
      <c r="Y162" s="25"/>
      <c r="Z162" s="25"/>
      <c r="AA162" s="25"/>
      <c r="AB162" s="25"/>
      <c r="AC162" s="25" t="str">
        <f>TRIM(StudentScore[[#This Row],[Student Email]])</f>
        <v>srawin.kri@student.mahidol.ac.th</v>
      </c>
    </row>
    <row r="163" spans="1:29" ht="27">
      <c r="A163" s="15">
        <v>157</v>
      </c>
      <c r="B163" s="16">
        <f t="shared" si="12"/>
        <v>62</v>
      </c>
      <c r="C163" s="27">
        <f t="shared" si="13"/>
        <v>2022</v>
      </c>
      <c r="D163" s="54"/>
      <c r="E163" s="17">
        <v>6288026</v>
      </c>
      <c r="F163" s="14" t="s">
        <v>38</v>
      </c>
      <c r="G163" s="14" t="s">
        <v>733</v>
      </c>
      <c r="H163" s="18" t="s">
        <v>734</v>
      </c>
      <c r="I163" s="25" t="s">
        <v>53</v>
      </c>
      <c r="J163" s="25">
        <v>91</v>
      </c>
      <c r="K163" s="25">
        <v>50</v>
      </c>
      <c r="L163" s="25">
        <v>41</v>
      </c>
      <c r="M163" s="25"/>
      <c r="N163" s="25"/>
      <c r="O163" s="25"/>
      <c r="P163" s="25"/>
      <c r="Q163" s="25"/>
      <c r="R163" s="25"/>
      <c r="S163" s="26">
        <v>44673</v>
      </c>
      <c r="T163" s="25" t="s">
        <v>735</v>
      </c>
      <c r="U163" s="25"/>
      <c r="V163" s="25"/>
      <c r="W163" s="25" t="s">
        <v>736</v>
      </c>
      <c r="X163" s="25" t="s">
        <v>737</v>
      </c>
      <c r="Y163" s="42">
        <v>44706.763298611113</v>
      </c>
      <c r="Z163" s="25" t="s">
        <v>738</v>
      </c>
      <c r="AA163" s="25"/>
      <c r="AB163" s="25"/>
      <c r="AC163" s="25" t="str">
        <f>TRIM(StudentScore[[#This Row],[Student Email]])</f>
        <v>pitipat.ler@student.mahidol.ac.th</v>
      </c>
    </row>
    <row r="164" spans="1:29" ht="27">
      <c r="A164" s="15">
        <v>158</v>
      </c>
      <c r="B164" s="16">
        <f t="shared" si="12"/>
        <v>62</v>
      </c>
      <c r="C164" s="27">
        <f t="shared" si="13"/>
        <v>2022</v>
      </c>
      <c r="D164" s="54"/>
      <c r="E164" s="17">
        <v>6288027</v>
      </c>
      <c r="F164" s="14" t="s">
        <v>117</v>
      </c>
      <c r="G164" s="14" t="s">
        <v>739</v>
      </c>
      <c r="H164" s="18" t="s">
        <v>740</v>
      </c>
      <c r="I164" s="25" t="s">
        <v>214</v>
      </c>
      <c r="J164" s="25">
        <v>125</v>
      </c>
      <c r="K164" s="25"/>
      <c r="L164" s="25"/>
      <c r="M164" s="25"/>
      <c r="N164" s="25"/>
      <c r="O164" s="25">
        <v>120</v>
      </c>
      <c r="P164" s="25">
        <v>120</v>
      </c>
      <c r="Q164" s="25">
        <v>130</v>
      </c>
      <c r="R164" s="25">
        <v>105</v>
      </c>
      <c r="S164" s="26">
        <v>45040</v>
      </c>
      <c r="T164" s="35">
        <v>45041</v>
      </c>
      <c r="U164" s="25"/>
      <c r="V164" s="25"/>
      <c r="W164" s="25" t="s">
        <v>741</v>
      </c>
      <c r="X164" s="25" t="s">
        <v>742</v>
      </c>
      <c r="Y164" s="42">
        <v>45041.469942129632</v>
      </c>
      <c r="Z164" s="25" t="s">
        <v>743</v>
      </c>
      <c r="AA164" s="25"/>
      <c r="AB164" s="25"/>
      <c r="AC164" s="25" t="str">
        <f>TRIM(StudentScore[[#This Row],[Student Email]])</f>
        <v>thanawan.lhi@student.mahidol.ac.th</v>
      </c>
    </row>
    <row r="165" spans="1:29" ht="27">
      <c r="A165" s="15">
        <v>159</v>
      </c>
      <c r="B165" s="16">
        <f t="shared" si="12"/>
        <v>62</v>
      </c>
      <c r="C165" s="27">
        <f t="shared" si="13"/>
        <v>2022</v>
      </c>
      <c r="D165" s="54"/>
      <c r="E165" s="17">
        <v>6288028</v>
      </c>
      <c r="F165" s="14" t="s">
        <v>38</v>
      </c>
      <c r="G165" s="14" t="s">
        <v>744</v>
      </c>
      <c r="H165" s="18" t="s">
        <v>745</v>
      </c>
      <c r="I165" s="25" t="s">
        <v>48</v>
      </c>
      <c r="J165" s="25">
        <v>790</v>
      </c>
      <c r="K165" s="25">
        <v>380</v>
      </c>
      <c r="L165" s="25">
        <v>410</v>
      </c>
      <c r="M165" s="25"/>
      <c r="N165" s="25"/>
      <c r="O165" s="25"/>
      <c r="P165" s="25"/>
      <c r="Q165" s="25"/>
      <c r="R165" s="25"/>
      <c r="S165" s="35">
        <v>44090</v>
      </c>
      <c r="T165" s="51">
        <v>44075</v>
      </c>
      <c r="U165" s="25"/>
      <c r="V165" s="25"/>
      <c r="W165" s="25" t="s">
        <v>746</v>
      </c>
      <c r="X165" s="25" t="s">
        <v>747</v>
      </c>
      <c r="Y165" s="25"/>
      <c r="Z165" s="25"/>
      <c r="AA165" s="25"/>
      <c r="AB165" s="25"/>
      <c r="AC165" s="25" t="str">
        <f>TRIM(StudentScore[[#This Row],[Student Email]])</f>
        <v>thanakorn.lim@student.mahidol.ac.th</v>
      </c>
    </row>
    <row r="166" spans="1:29" ht="27">
      <c r="A166" s="15">
        <v>160</v>
      </c>
      <c r="B166" s="16">
        <f t="shared" si="12"/>
        <v>62</v>
      </c>
      <c r="C166" s="27">
        <f t="shared" si="13"/>
        <v>2022</v>
      </c>
      <c r="D166" s="54"/>
      <c r="E166" s="17">
        <v>6288029</v>
      </c>
      <c r="F166" s="14" t="s">
        <v>38</v>
      </c>
      <c r="G166" s="14" t="s">
        <v>748</v>
      </c>
      <c r="H166" s="18" t="s">
        <v>749</v>
      </c>
      <c r="I166" s="25" t="s">
        <v>48</v>
      </c>
      <c r="J166" s="25">
        <v>950</v>
      </c>
      <c r="K166" s="25">
        <v>480</v>
      </c>
      <c r="L166" s="25">
        <v>470</v>
      </c>
      <c r="M166" s="25"/>
      <c r="N166" s="25"/>
      <c r="O166" s="25"/>
      <c r="P166" s="25"/>
      <c r="Q166" s="25"/>
      <c r="R166" s="25"/>
      <c r="S166" s="26">
        <v>44914</v>
      </c>
      <c r="T166" s="35">
        <v>45042</v>
      </c>
      <c r="U166" s="25"/>
      <c r="V166" s="25" t="s">
        <v>688</v>
      </c>
      <c r="W166" s="25" t="s">
        <v>750</v>
      </c>
      <c r="X166" s="25" t="s">
        <v>751</v>
      </c>
      <c r="Y166" s="42">
        <v>45042.426261574074</v>
      </c>
      <c r="Z166" s="25" t="s">
        <v>752</v>
      </c>
      <c r="AA166" s="25"/>
      <c r="AB166" s="25"/>
      <c r="AC166" s="25" t="str">
        <f>TRIM(StudentScore[[#This Row],[Student Email]])</f>
        <v>kasemwat.ong@student.mahidol.ac.th</v>
      </c>
    </row>
    <row r="167" spans="1:29" ht="27">
      <c r="A167" s="15">
        <v>161</v>
      </c>
      <c r="B167" s="16">
        <f t="shared" si="12"/>
        <v>62</v>
      </c>
      <c r="C167" s="27">
        <f t="shared" si="13"/>
        <v>2022</v>
      </c>
      <c r="D167" s="54"/>
      <c r="E167" s="17">
        <v>6288030</v>
      </c>
      <c r="F167" s="14" t="s">
        <v>38</v>
      </c>
      <c r="G167" s="14" t="s">
        <v>753</v>
      </c>
      <c r="H167" s="18" t="s">
        <v>754</v>
      </c>
      <c r="I167" s="25" t="s">
        <v>124</v>
      </c>
      <c r="J167" s="25">
        <v>6.5</v>
      </c>
      <c r="K167" s="25">
        <v>7</v>
      </c>
      <c r="L167" s="25">
        <v>6</v>
      </c>
      <c r="M167" s="25">
        <v>5.5</v>
      </c>
      <c r="N167" s="25">
        <v>6.5</v>
      </c>
      <c r="O167" s="25"/>
      <c r="P167" s="25"/>
      <c r="Q167" s="25"/>
      <c r="R167" s="25"/>
      <c r="S167" s="35">
        <v>43253</v>
      </c>
      <c r="T167" s="51">
        <v>43678</v>
      </c>
      <c r="U167" s="25"/>
      <c r="V167" s="25"/>
      <c r="W167" s="25" t="s">
        <v>755</v>
      </c>
      <c r="X167" s="25" t="s">
        <v>756</v>
      </c>
      <c r="Y167" s="25"/>
      <c r="Z167" s="25"/>
      <c r="AA167" s="25"/>
      <c r="AB167" s="25"/>
      <c r="AC167" s="25" t="str">
        <f>TRIM(StudentScore[[#This Row],[Student Email]])</f>
        <v>sorawit.ong@student.mahidol.ac.th</v>
      </c>
    </row>
    <row r="168" spans="1:29" ht="27">
      <c r="A168" s="15">
        <v>162</v>
      </c>
      <c r="B168" s="16">
        <f t="shared" si="12"/>
        <v>62</v>
      </c>
      <c r="C168" s="27">
        <f t="shared" si="13"/>
        <v>2022</v>
      </c>
      <c r="D168" s="54"/>
      <c r="E168" s="17">
        <v>6288031</v>
      </c>
      <c r="F168" s="14" t="s">
        <v>38</v>
      </c>
      <c r="G168" s="14" t="s">
        <v>757</v>
      </c>
      <c r="H168" s="18" t="s">
        <v>758</v>
      </c>
      <c r="I168" s="25" t="s">
        <v>102</v>
      </c>
      <c r="J168" s="25">
        <v>85</v>
      </c>
      <c r="K168" s="25"/>
      <c r="L168" s="25"/>
      <c r="M168" s="25"/>
      <c r="N168" s="25"/>
      <c r="O168" s="25"/>
      <c r="P168" s="25"/>
      <c r="Q168" s="25"/>
      <c r="R168" s="25"/>
      <c r="S168" s="25"/>
      <c r="T168" s="51">
        <v>44682</v>
      </c>
      <c r="U168" s="25"/>
      <c r="V168" s="25"/>
      <c r="W168" s="25" t="s">
        <v>759</v>
      </c>
      <c r="X168" s="25" t="s">
        <v>760</v>
      </c>
      <c r="Y168" s="25"/>
      <c r="Z168" s="25"/>
      <c r="AA168" s="25"/>
      <c r="AB168" s="25"/>
      <c r="AC168" s="25" t="str">
        <f>TRIM(StudentScore[[#This Row],[Student Email]])</f>
        <v>aekkaluk.pan@student.mahidol.ac.th</v>
      </c>
    </row>
    <row r="169" spans="1:29" ht="27">
      <c r="A169" s="15">
        <v>163</v>
      </c>
      <c r="B169" s="16">
        <f t="shared" si="12"/>
        <v>62</v>
      </c>
      <c r="C169" s="27">
        <f t="shared" si="13"/>
        <v>2022</v>
      </c>
      <c r="D169" s="54"/>
      <c r="E169" s="17">
        <v>6288032</v>
      </c>
      <c r="F169" s="14" t="s">
        <v>38</v>
      </c>
      <c r="G169" s="14" t="s">
        <v>761</v>
      </c>
      <c r="H169" s="18" t="s">
        <v>762</v>
      </c>
      <c r="I169" s="25" t="s">
        <v>102</v>
      </c>
      <c r="J169" s="25">
        <v>93</v>
      </c>
      <c r="K169" s="25"/>
      <c r="L169" s="25"/>
      <c r="M169" s="25"/>
      <c r="N169" s="25"/>
      <c r="O169" s="25"/>
      <c r="P169" s="25"/>
      <c r="Q169" s="25"/>
      <c r="R169" s="25"/>
      <c r="S169" s="25"/>
      <c r="T169" s="51">
        <v>44531</v>
      </c>
      <c r="U169" s="25"/>
      <c r="V169" s="25"/>
      <c r="W169" s="25" t="s">
        <v>763</v>
      </c>
      <c r="X169" s="25" t="s">
        <v>764</v>
      </c>
      <c r="Y169" s="25"/>
      <c r="Z169" s="25"/>
      <c r="AA169" s="25"/>
      <c r="AB169" s="25"/>
      <c r="AC169" s="25" t="str">
        <f>TRIM(StudentScore[[#This Row],[Student Email]])</f>
        <v>suti.pon@student.mahidol.ac.th</v>
      </c>
    </row>
    <row r="170" spans="1:29" ht="27">
      <c r="A170" s="15">
        <v>164</v>
      </c>
      <c r="B170" s="16">
        <f t="shared" si="12"/>
        <v>62</v>
      </c>
      <c r="C170" s="27">
        <f t="shared" si="13"/>
        <v>2022</v>
      </c>
      <c r="D170" s="54"/>
      <c r="E170" s="17">
        <v>6288033</v>
      </c>
      <c r="F170" s="14" t="s">
        <v>38</v>
      </c>
      <c r="G170" s="14" t="s">
        <v>765</v>
      </c>
      <c r="H170" s="18" t="s">
        <v>766</v>
      </c>
      <c r="I170" s="25" t="s">
        <v>244</v>
      </c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 t="s">
        <v>767</v>
      </c>
      <c r="Y170" s="25"/>
      <c r="Z170" s="25"/>
      <c r="AA170" s="25"/>
      <c r="AB170" s="25"/>
      <c r="AC170" s="25" t="str">
        <f>TRIM(StudentScore[[#This Row],[Student Email]])</f>
        <v>nuttapong.pra@student.mahidol.ac.th</v>
      </c>
    </row>
    <row r="171" spans="1:29" ht="27">
      <c r="A171" s="15">
        <v>165</v>
      </c>
      <c r="B171" s="16">
        <f t="shared" si="12"/>
        <v>62</v>
      </c>
      <c r="C171" s="27">
        <f t="shared" si="13"/>
        <v>2022</v>
      </c>
      <c r="D171" s="54"/>
      <c r="E171" s="17">
        <v>6288034</v>
      </c>
      <c r="F171" s="14" t="s">
        <v>117</v>
      </c>
      <c r="G171" s="14" t="s">
        <v>768</v>
      </c>
      <c r="H171" s="18" t="s">
        <v>769</v>
      </c>
      <c r="I171" s="25" t="s">
        <v>102</v>
      </c>
      <c r="J171" s="25">
        <v>78</v>
      </c>
      <c r="K171" s="25"/>
      <c r="L171" s="25"/>
      <c r="M171" s="25"/>
      <c r="N171" s="25"/>
      <c r="O171" s="25"/>
      <c r="P171" s="25"/>
      <c r="Q171" s="25"/>
      <c r="R171" s="25"/>
      <c r="S171" s="25"/>
      <c r="T171" s="51">
        <v>44531</v>
      </c>
      <c r="U171" s="25"/>
      <c r="V171" s="25"/>
      <c r="W171" s="25" t="s">
        <v>770</v>
      </c>
      <c r="X171" s="25" t="s">
        <v>771</v>
      </c>
      <c r="Y171" s="25"/>
      <c r="Z171" s="25"/>
      <c r="AA171" s="25"/>
      <c r="AB171" s="25"/>
      <c r="AC171" s="25" t="str">
        <f>TRIM(StudentScore[[#This Row],[Student Email]])</f>
        <v>pranungfun.pra@student.mahidol.ac.th</v>
      </c>
    </row>
    <row r="172" spans="1:29" ht="27">
      <c r="A172" s="15">
        <v>166</v>
      </c>
      <c r="B172" s="16">
        <f t="shared" si="12"/>
        <v>62</v>
      </c>
      <c r="C172" s="27">
        <f t="shared" si="13"/>
        <v>2022</v>
      </c>
      <c r="D172" s="54"/>
      <c r="E172" s="17">
        <v>6288035</v>
      </c>
      <c r="F172" s="14" t="s">
        <v>38</v>
      </c>
      <c r="G172" s="14" t="s">
        <v>772</v>
      </c>
      <c r="H172" s="18" t="s">
        <v>773</v>
      </c>
      <c r="I172" s="25" t="s">
        <v>53</v>
      </c>
      <c r="J172" s="25">
        <v>127</v>
      </c>
      <c r="K172" s="25">
        <v>63</v>
      </c>
      <c r="L172" s="25">
        <v>64</v>
      </c>
      <c r="M172" s="25"/>
      <c r="N172" s="25"/>
      <c r="O172" s="25"/>
      <c r="P172" s="25"/>
      <c r="Q172" s="25"/>
      <c r="R172" s="25"/>
      <c r="S172" s="26">
        <v>44643</v>
      </c>
      <c r="T172" s="35">
        <v>44725</v>
      </c>
      <c r="U172" s="25"/>
      <c r="V172" s="25"/>
      <c r="W172" s="25" t="s">
        <v>774</v>
      </c>
      <c r="X172" s="25" t="s">
        <v>775</v>
      </c>
      <c r="Y172" s="42">
        <v>44725.975243055553</v>
      </c>
      <c r="Z172" s="25" t="s">
        <v>776</v>
      </c>
      <c r="AA172" s="25"/>
      <c r="AB172" s="25"/>
      <c r="AC172" s="25" t="str">
        <f>TRIM(StudentScore[[#This Row],[Student Email]])</f>
        <v>veerakit.pra@student.mahidol.ac.th</v>
      </c>
    </row>
    <row r="173" spans="1:29" ht="27">
      <c r="A173" s="15">
        <v>167</v>
      </c>
      <c r="B173" s="16">
        <f t="shared" si="12"/>
        <v>62</v>
      </c>
      <c r="C173" s="27">
        <f t="shared" si="13"/>
        <v>2022</v>
      </c>
      <c r="D173" s="54"/>
      <c r="E173" s="17">
        <v>6288036</v>
      </c>
      <c r="F173" s="14" t="s">
        <v>38</v>
      </c>
      <c r="G173" s="14" t="s">
        <v>777</v>
      </c>
      <c r="H173" s="18" t="s">
        <v>778</v>
      </c>
      <c r="I173" s="25" t="s">
        <v>102</v>
      </c>
      <c r="J173" s="25">
        <v>75</v>
      </c>
      <c r="K173" s="25"/>
      <c r="L173" s="25"/>
      <c r="M173" s="25"/>
      <c r="N173" s="25"/>
      <c r="O173" s="25"/>
      <c r="P173" s="25"/>
      <c r="Q173" s="25"/>
      <c r="R173" s="25"/>
      <c r="S173" s="35">
        <v>44892</v>
      </c>
      <c r="T173" s="51">
        <v>44935</v>
      </c>
      <c r="U173" s="25"/>
      <c r="V173" s="25"/>
      <c r="W173" s="25" t="s">
        <v>779</v>
      </c>
      <c r="X173" s="25" t="s">
        <v>780</v>
      </c>
      <c r="Y173" s="25"/>
      <c r="Z173" s="25"/>
      <c r="AA173" s="25"/>
      <c r="AB173" s="25"/>
      <c r="AC173" s="25" t="str">
        <f>TRIM(StudentScore[[#This Row],[Student Email]])</f>
        <v>tanakorn.yim@student.mahidol.ac.th</v>
      </c>
    </row>
    <row r="174" spans="1:29" ht="27">
      <c r="A174" s="15">
        <v>168</v>
      </c>
      <c r="B174" s="16">
        <f t="shared" si="12"/>
        <v>62</v>
      </c>
      <c r="C174" s="27">
        <f t="shared" si="13"/>
        <v>2022</v>
      </c>
      <c r="D174" s="54"/>
      <c r="E174" s="17">
        <v>6288037</v>
      </c>
      <c r="F174" s="14" t="s">
        <v>38</v>
      </c>
      <c r="G174" s="14" t="s">
        <v>781</v>
      </c>
      <c r="H174" s="18" t="s">
        <v>782</v>
      </c>
      <c r="I174" s="25" t="s">
        <v>48</v>
      </c>
      <c r="J174" s="25">
        <v>755</v>
      </c>
      <c r="K174" s="25">
        <v>380</v>
      </c>
      <c r="L174" s="25">
        <v>375</v>
      </c>
      <c r="M174" s="25"/>
      <c r="N174" s="25"/>
      <c r="O174" s="25"/>
      <c r="P174" s="25"/>
      <c r="Q174" s="25"/>
      <c r="R174" s="25"/>
      <c r="S174" s="25" t="s">
        <v>783</v>
      </c>
      <c r="T174" s="51">
        <v>44805</v>
      </c>
      <c r="U174" s="25"/>
      <c r="V174" s="25"/>
      <c r="W174" s="25" t="s">
        <v>784</v>
      </c>
      <c r="X174" s="25" t="s">
        <v>785</v>
      </c>
      <c r="Y174" s="25"/>
      <c r="Z174" s="25"/>
      <c r="AA174" s="25"/>
      <c r="AB174" s="25"/>
      <c r="AC174" s="25" t="str">
        <f>TRIM(StudentScore[[#This Row],[Student Email]])</f>
        <v>natanon.rit@student.mahidol.ac.th</v>
      </c>
    </row>
    <row r="175" spans="1:29" ht="27">
      <c r="A175" s="15">
        <v>169</v>
      </c>
      <c r="B175" s="16">
        <f t="shared" si="12"/>
        <v>62</v>
      </c>
      <c r="C175" s="27">
        <f t="shared" si="13"/>
        <v>2022</v>
      </c>
      <c r="D175" s="54"/>
      <c r="E175" s="17">
        <v>6288038</v>
      </c>
      <c r="F175" s="14" t="s">
        <v>38</v>
      </c>
      <c r="G175" s="14" t="s">
        <v>786</v>
      </c>
      <c r="H175" s="18" t="s">
        <v>787</v>
      </c>
      <c r="I175" s="25" t="s">
        <v>48</v>
      </c>
      <c r="J175" s="25">
        <v>795</v>
      </c>
      <c r="K175" s="25">
        <v>425</v>
      </c>
      <c r="L175" s="25">
        <v>370</v>
      </c>
      <c r="M175" s="25"/>
      <c r="N175" s="25"/>
      <c r="O175" s="25"/>
      <c r="P175" s="25"/>
      <c r="Q175" s="25"/>
      <c r="R175" s="25"/>
      <c r="S175" s="26">
        <v>45023</v>
      </c>
      <c r="T175" s="35">
        <v>45058</v>
      </c>
      <c r="U175" s="25"/>
      <c r="V175" s="25" t="s">
        <v>688</v>
      </c>
      <c r="W175" s="25" t="s">
        <v>788</v>
      </c>
      <c r="X175" s="25" t="s">
        <v>789</v>
      </c>
      <c r="Y175" s="42">
        <v>45058.523784722223</v>
      </c>
      <c r="Z175" s="25" t="s">
        <v>790</v>
      </c>
      <c r="AA175" s="25"/>
      <c r="AB175" s="25"/>
      <c r="AC175" s="25" t="str">
        <f>TRIM(StudentScore[[#This Row],[Student Email]])</f>
        <v>chayapol.rob@student.mahidol.ac.th</v>
      </c>
    </row>
    <row r="176" spans="1:29" ht="27">
      <c r="A176" s="15">
        <v>170</v>
      </c>
      <c r="B176" s="16">
        <f t="shared" si="12"/>
        <v>62</v>
      </c>
      <c r="C176" s="27">
        <f t="shared" si="13"/>
        <v>2022</v>
      </c>
      <c r="D176" s="54"/>
      <c r="E176" s="17">
        <v>6288039</v>
      </c>
      <c r="F176" s="14" t="s">
        <v>38</v>
      </c>
      <c r="G176" s="14" t="s">
        <v>791</v>
      </c>
      <c r="H176" s="18" t="s">
        <v>792</v>
      </c>
      <c r="I176" s="25" t="s">
        <v>53</v>
      </c>
      <c r="J176" s="25">
        <v>120</v>
      </c>
      <c r="K176" s="25">
        <v>61</v>
      </c>
      <c r="L176" s="25">
        <v>59</v>
      </c>
      <c r="M176" s="25"/>
      <c r="N176" s="25"/>
      <c r="O176" s="25"/>
      <c r="P176" s="25"/>
      <c r="Q176" s="25"/>
      <c r="R176" s="25"/>
      <c r="S176" s="26">
        <v>44643</v>
      </c>
      <c r="T176" s="35">
        <v>44670</v>
      </c>
      <c r="U176" s="25"/>
      <c r="V176" s="25"/>
      <c r="W176" s="25" t="s">
        <v>793</v>
      </c>
      <c r="X176" s="25" t="s">
        <v>794</v>
      </c>
      <c r="Y176" s="42">
        <v>44670.448842592596</v>
      </c>
      <c r="Z176" s="25" t="s">
        <v>795</v>
      </c>
      <c r="AA176" s="25"/>
      <c r="AB176" s="25"/>
      <c r="AC176" s="25" t="str">
        <f>TRIM(StudentScore[[#This Row],[Student Email]])</f>
        <v>varit.run@student.mahidol.ac.th</v>
      </c>
    </row>
    <row r="177" spans="1:29" ht="27">
      <c r="A177" s="15">
        <v>171</v>
      </c>
      <c r="B177" s="16">
        <f t="shared" si="12"/>
        <v>62</v>
      </c>
      <c r="C177" s="27">
        <f t="shared" si="13"/>
        <v>2022</v>
      </c>
      <c r="D177" s="54"/>
      <c r="E177" s="17">
        <v>6288040</v>
      </c>
      <c r="F177" s="14" t="s">
        <v>38</v>
      </c>
      <c r="G177" s="14" t="s">
        <v>796</v>
      </c>
      <c r="H177" s="18" t="s">
        <v>797</v>
      </c>
      <c r="I177" s="25" t="s">
        <v>48</v>
      </c>
      <c r="J177" s="25">
        <v>970</v>
      </c>
      <c r="K177" s="25">
        <v>495</v>
      </c>
      <c r="L177" s="25">
        <v>475</v>
      </c>
      <c r="M177" s="25"/>
      <c r="N177" s="25"/>
      <c r="O177" s="25"/>
      <c r="P177" s="25"/>
      <c r="Q177" s="25"/>
      <c r="R177" s="25"/>
      <c r="S177" s="26">
        <v>44980</v>
      </c>
      <c r="T177" s="35">
        <v>44984</v>
      </c>
      <c r="U177" s="25"/>
      <c r="V177" s="25" t="s">
        <v>688</v>
      </c>
      <c r="W177" s="25" t="s">
        <v>798</v>
      </c>
      <c r="X177" s="25" t="s">
        <v>799</v>
      </c>
      <c r="Y177" s="42">
        <v>44984.451377314814</v>
      </c>
      <c r="Z177" s="25" t="s">
        <v>800</v>
      </c>
      <c r="AA177" s="25"/>
      <c r="AB177" s="25"/>
      <c r="AC177" s="25" t="str">
        <f>TRIM(StudentScore[[#This Row],[Student Email]])</f>
        <v>klayuth.sar@student.mahidol.ac.th</v>
      </c>
    </row>
    <row r="178" spans="1:29" ht="27">
      <c r="A178" s="15">
        <v>172</v>
      </c>
      <c r="B178" s="16">
        <f t="shared" si="12"/>
        <v>62</v>
      </c>
      <c r="C178" s="27">
        <f t="shared" si="13"/>
        <v>2022</v>
      </c>
      <c r="D178" s="54"/>
      <c r="E178" s="17">
        <v>6288041</v>
      </c>
      <c r="F178" s="14" t="s">
        <v>38</v>
      </c>
      <c r="G178" s="14" t="s">
        <v>801</v>
      </c>
      <c r="H178" s="18" t="s">
        <v>802</v>
      </c>
      <c r="I178" s="25" t="s">
        <v>48</v>
      </c>
      <c r="J178" s="25">
        <v>870</v>
      </c>
      <c r="K178" s="25">
        <v>455</v>
      </c>
      <c r="L178" s="25">
        <v>415</v>
      </c>
      <c r="M178" s="25"/>
      <c r="N178" s="25"/>
      <c r="O178" s="25"/>
      <c r="P178" s="25"/>
      <c r="Q178" s="25"/>
      <c r="R178" s="25"/>
      <c r="S178" s="26">
        <v>44811</v>
      </c>
      <c r="T178" s="51">
        <v>44805</v>
      </c>
      <c r="U178" s="25"/>
      <c r="V178" s="25"/>
      <c r="W178" s="25" t="s">
        <v>803</v>
      </c>
      <c r="X178" s="25" t="s">
        <v>804</v>
      </c>
      <c r="Y178" s="25"/>
      <c r="Z178" s="25"/>
      <c r="AA178" s="25"/>
      <c r="AB178" s="25"/>
      <c r="AC178" s="25" t="str">
        <f>TRIM(StudentScore[[#This Row],[Student Email]])</f>
        <v>prin.sat@student.mahidol.ac.th</v>
      </c>
    </row>
    <row r="179" spans="1:29" ht="27">
      <c r="A179" s="15">
        <v>173</v>
      </c>
      <c r="B179" s="16">
        <f t="shared" si="12"/>
        <v>62</v>
      </c>
      <c r="C179" s="27">
        <f t="shared" si="13"/>
        <v>2022</v>
      </c>
      <c r="D179" s="54"/>
      <c r="E179" s="17">
        <v>6288042</v>
      </c>
      <c r="F179" s="14" t="s">
        <v>38</v>
      </c>
      <c r="G179" s="14" t="s">
        <v>805</v>
      </c>
      <c r="H179" s="18" t="s">
        <v>806</v>
      </c>
      <c r="I179" s="25" t="s">
        <v>48</v>
      </c>
      <c r="J179" s="25">
        <v>800</v>
      </c>
      <c r="K179" s="25">
        <v>445</v>
      </c>
      <c r="L179" s="25">
        <v>355</v>
      </c>
      <c r="M179" s="25"/>
      <c r="N179" s="25"/>
      <c r="O179" s="25"/>
      <c r="P179" s="25"/>
      <c r="Q179" s="25"/>
      <c r="R179" s="25"/>
      <c r="S179" s="35">
        <v>44747</v>
      </c>
      <c r="T179" s="51">
        <v>44774</v>
      </c>
      <c r="U179" s="25"/>
      <c r="V179" s="25"/>
      <c r="W179" s="25" t="s">
        <v>807</v>
      </c>
      <c r="X179" s="25" t="s">
        <v>808</v>
      </c>
      <c r="Y179" s="25"/>
      <c r="Z179" s="25"/>
      <c r="AA179" s="25"/>
      <c r="AB179" s="25"/>
      <c r="AC179" s="25" t="str">
        <f>TRIM(StudentScore[[#This Row],[Student Email]])</f>
        <v>parin.sew@student.mahidol.ac.th</v>
      </c>
    </row>
    <row r="180" spans="1:29" ht="27">
      <c r="A180" s="15">
        <v>174</v>
      </c>
      <c r="B180" s="16">
        <f t="shared" si="12"/>
        <v>62</v>
      </c>
      <c r="C180" s="27">
        <f t="shared" si="13"/>
        <v>2022</v>
      </c>
      <c r="D180" s="54"/>
      <c r="E180" s="17">
        <v>6288043</v>
      </c>
      <c r="F180" s="14" t="s">
        <v>38</v>
      </c>
      <c r="G180" s="14" t="s">
        <v>809</v>
      </c>
      <c r="H180" s="18" t="s">
        <v>810</v>
      </c>
      <c r="I180" s="25" t="s">
        <v>102</v>
      </c>
      <c r="J180" s="25">
        <v>89</v>
      </c>
      <c r="K180" s="25"/>
      <c r="L180" s="25"/>
      <c r="M180" s="25"/>
      <c r="N180" s="25"/>
      <c r="O180" s="25"/>
      <c r="P180" s="25"/>
      <c r="Q180" s="25"/>
      <c r="R180" s="25"/>
      <c r="S180" s="25"/>
      <c r="T180" s="51">
        <v>44531</v>
      </c>
      <c r="U180" s="25"/>
      <c r="V180" s="25"/>
      <c r="W180" s="25" t="s">
        <v>811</v>
      </c>
      <c r="X180" s="25" t="s">
        <v>812</v>
      </c>
      <c r="Y180" s="25"/>
      <c r="Z180" s="25"/>
      <c r="AA180" s="25"/>
      <c r="AB180" s="25"/>
      <c r="AC180" s="25" t="str">
        <f>TRIM(StudentScore[[#This Row],[Student Email]])</f>
        <v>charan.sir@student.mahidol.ac.th</v>
      </c>
    </row>
    <row r="181" spans="1:29" ht="27">
      <c r="A181" s="15">
        <v>175</v>
      </c>
      <c r="B181" s="16">
        <f t="shared" si="12"/>
        <v>62</v>
      </c>
      <c r="C181" s="27">
        <f t="shared" si="13"/>
        <v>2022</v>
      </c>
      <c r="D181" s="54"/>
      <c r="E181" s="17">
        <v>6288044</v>
      </c>
      <c r="F181" s="14" t="s">
        <v>38</v>
      </c>
      <c r="G181" s="14" t="s">
        <v>813</v>
      </c>
      <c r="H181" s="18" t="s">
        <v>814</v>
      </c>
      <c r="I181" s="25" t="s">
        <v>102</v>
      </c>
      <c r="J181" s="25">
        <v>93</v>
      </c>
      <c r="K181" s="25"/>
      <c r="L181" s="25"/>
      <c r="M181" s="25"/>
      <c r="N181" s="25"/>
      <c r="O181" s="25"/>
      <c r="P181" s="25"/>
      <c r="Q181" s="25"/>
      <c r="R181" s="25"/>
      <c r="S181" s="25"/>
      <c r="T181" s="51">
        <v>44682</v>
      </c>
      <c r="U181" s="25"/>
      <c r="V181" s="25"/>
      <c r="W181" s="25" t="s">
        <v>815</v>
      </c>
      <c r="X181" s="25" t="s">
        <v>816</v>
      </c>
      <c r="Y181" s="25"/>
      <c r="Z181" s="25"/>
      <c r="AA181" s="25"/>
      <c r="AB181" s="25"/>
      <c r="AC181" s="25" t="str">
        <f>TRIM(StudentScore[[#This Row],[Student Email]])</f>
        <v>non.som@student.mahidol.ac.th</v>
      </c>
    </row>
    <row r="182" spans="1:29" ht="27">
      <c r="A182" s="15">
        <v>176</v>
      </c>
      <c r="B182" s="16">
        <f t="shared" si="12"/>
        <v>62</v>
      </c>
      <c r="C182" s="27">
        <f t="shared" si="13"/>
        <v>2022</v>
      </c>
      <c r="D182" s="54"/>
      <c r="E182" s="17">
        <v>6288045</v>
      </c>
      <c r="F182" s="14" t="s">
        <v>117</v>
      </c>
      <c r="G182" s="14" t="s">
        <v>817</v>
      </c>
      <c r="H182" s="18" t="s">
        <v>818</v>
      </c>
      <c r="I182" s="25" t="s">
        <v>53</v>
      </c>
      <c r="J182" s="25">
        <v>111</v>
      </c>
      <c r="K182" s="25">
        <v>56</v>
      </c>
      <c r="L182" s="25">
        <v>55</v>
      </c>
      <c r="M182" s="25"/>
      <c r="N182" s="25"/>
      <c r="O182" s="25"/>
      <c r="P182" s="25"/>
      <c r="Q182" s="25"/>
      <c r="R182" s="25"/>
      <c r="S182" s="35">
        <v>44160</v>
      </c>
      <c r="T182" s="51">
        <v>44166</v>
      </c>
      <c r="U182" s="25"/>
      <c r="V182" s="25"/>
      <c r="W182" s="25" t="s">
        <v>819</v>
      </c>
      <c r="X182" s="25" t="s">
        <v>820</v>
      </c>
      <c r="Y182" s="25"/>
      <c r="Z182" s="25"/>
      <c r="AA182" s="25"/>
      <c r="AB182" s="25"/>
      <c r="AC182" s="25" t="str">
        <f>TRIM(StudentScore[[#This Row],[Student Email]])</f>
        <v>pitchaporn.son@student.mahidol.ac.th</v>
      </c>
    </row>
    <row r="183" spans="1:29" ht="27">
      <c r="A183" s="15">
        <v>177</v>
      </c>
      <c r="B183" s="16">
        <f t="shared" si="12"/>
        <v>62</v>
      </c>
      <c r="C183" s="27">
        <f t="shared" si="13"/>
        <v>2022</v>
      </c>
      <c r="D183" s="54"/>
      <c r="E183" s="17">
        <v>6288046</v>
      </c>
      <c r="F183" s="14" t="s">
        <v>38</v>
      </c>
      <c r="G183" s="14" t="s">
        <v>821</v>
      </c>
      <c r="H183" s="18" t="s">
        <v>822</v>
      </c>
      <c r="I183" s="25" t="s">
        <v>48</v>
      </c>
      <c r="J183" s="25">
        <v>935</v>
      </c>
      <c r="K183" s="25">
        <v>495</v>
      </c>
      <c r="L183" s="25">
        <v>440</v>
      </c>
      <c r="M183" s="25"/>
      <c r="N183" s="25"/>
      <c r="O183" s="25"/>
      <c r="P183" s="25"/>
      <c r="Q183" s="25"/>
      <c r="R183" s="25"/>
      <c r="S183" s="35">
        <v>42968</v>
      </c>
      <c r="T183" s="51">
        <v>43647</v>
      </c>
      <c r="U183" s="25"/>
      <c r="V183" s="25"/>
      <c r="W183" s="25" t="s">
        <v>823</v>
      </c>
      <c r="X183" s="25" t="s">
        <v>824</v>
      </c>
      <c r="Y183" s="25"/>
      <c r="Z183" s="25"/>
      <c r="AA183" s="25"/>
      <c r="AB183" s="25"/>
      <c r="AC183" s="25" t="str">
        <f>TRIM(StudentScore[[#This Row],[Student Email]])</f>
        <v>eakdanai.son@student.mahidol.ac.th</v>
      </c>
    </row>
    <row r="184" spans="1:29" ht="27">
      <c r="A184" s="15">
        <v>178</v>
      </c>
      <c r="B184" s="16">
        <f t="shared" si="12"/>
        <v>62</v>
      </c>
      <c r="C184" s="27">
        <f t="shared" si="13"/>
        <v>2022</v>
      </c>
      <c r="D184" s="54"/>
      <c r="E184" s="17">
        <v>6288047</v>
      </c>
      <c r="F184" s="14" t="s">
        <v>117</v>
      </c>
      <c r="G184" s="14" t="s">
        <v>825</v>
      </c>
      <c r="H184" s="18" t="s">
        <v>826</v>
      </c>
      <c r="I184" s="25" t="s">
        <v>102</v>
      </c>
      <c r="J184" s="25">
        <v>87</v>
      </c>
      <c r="K184" s="25"/>
      <c r="L184" s="25"/>
      <c r="M184" s="25"/>
      <c r="N184" s="25"/>
      <c r="O184" s="25"/>
      <c r="P184" s="25"/>
      <c r="Q184" s="25"/>
      <c r="R184" s="25"/>
      <c r="S184" s="25"/>
      <c r="T184" s="51">
        <v>44348</v>
      </c>
      <c r="U184" s="25"/>
      <c r="V184" s="25"/>
      <c r="W184" s="25" t="s">
        <v>827</v>
      </c>
      <c r="X184" s="25" t="s">
        <v>828</v>
      </c>
      <c r="Y184" s="25"/>
      <c r="Z184" s="25"/>
      <c r="AA184" s="25"/>
      <c r="AB184" s="25"/>
      <c r="AC184" s="25" t="str">
        <f>TRIM(StudentScore[[#This Row],[Student Email]])</f>
        <v>punyaporn.sri@student.mahidol.ac.th</v>
      </c>
    </row>
    <row r="185" spans="1:29" ht="27">
      <c r="A185" s="15">
        <v>179</v>
      </c>
      <c r="B185" s="16">
        <f t="shared" si="12"/>
        <v>62</v>
      </c>
      <c r="C185" s="27">
        <f t="shared" si="13"/>
        <v>2022</v>
      </c>
      <c r="D185" s="54"/>
      <c r="E185" s="17">
        <v>6288048</v>
      </c>
      <c r="F185" s="14" t="s">
        <v>38</v>
      </c>
      <c r="G185" s="14" t="s">
        <v>829</v>
      </c>
      <c r="H185" s="18" t="s">
        <v>830</v>
      </c>
      <c r="I185" s="25" t="s">
        <v>214</v>
      </c>
      <c r="J185" s="25">
        <v>90</v>
      </c>
      <c r="K185" s="25"/>
      <c r="L185" s="25"/>
      <c r="M185" s="25"/>
      <c r="N185" s="25"/>
      <c r="O185" s="25">
        <v>95</v>
      </c>
      <c r="P185" s="25">
        <v>75</v>
      </c>
      <c r="Q185" s="25">
        <v>100</v>
      </c>
      <c r="R185" s="25">
        <v>55</v>
      </c>
      <c r="S185" s="26">
        <v>45075</v>
      </c>
      <c r="T185" s="35">
        <v>45077</v>
      </c>
      <c r="U185" s="25"/>
      <c r="V185" s="25"/>
      <c r="W185" s="25" t="s">
        <v>831</v>
      </c>
      <c r="X185" s="25" t="s">
        <v>832</v>
      </c>
      <c r="Y185" s="42">
        <v>45077.532280092593</v>
      </c>
      <c r="Z185" s="25" t="s">
        <v>833</v>
      </c>
      <c r="AA185" s="25"/>
      <c r="AB185" s="25"/>
      <c r="AC185" s="25" t="str">
        <f>TRIM(StudentScore[[#This Row],[Student Email]])</f>
        <v>taiichi.suo@student.mahidol.ac.th</v>
      </c>
    </row>
    <row r="186" spans="1:29" ht="27">
      <c r="A186" s="15">
        <v>180</v>
      </c>
      <c r="B186" s="16">
        <f t="shared" si="12"/>
        <v>62</v>
      </c>
      <c r="C186" s="27">
        <f t="shared" si="13"/>
        <v>2022</v>
      </c>
      <c r="D186" s="54"/>
      <c r="E186" s="17">
        <v>6288049</v>
      </c>
      <c r="F186" s="14" t="s">
        <v>38</v>
      </c>
      <c r="G186" s="14" t="s">
        <v>834</v>
      </c>
      <c r="H186" s="18" t="s">
        <v>835</v>
      </c>
      <c r="I186" s="25" t="s">
        <v>102</v>
      </c>
      <c r="J186" s="25">
        <v>91</v>
      </c>
      <c r="K186" s="25"/>
      <c r="L186" s="25"/>
      <c r="M186" s="25"/>
      <c r="N186" s="25"/>
      <c r="O186" s="25"/>
      <c r="P186" s="25"/>
      <c r="Q186" s="25"/>
      <c r="R186" s="25"/>
      <c r="S186" s="25"/>
      <c r="T186" s="51">
        <v>44682</v>
      </c>
      <c r="U186" s="25"/>
      <c r="V186" s="25"/>
      <c r="W186" s="25" t="s">
        <v>836</v>
      </c>
      <c r="X186" s="25" t="s">
        <v>837</v>
      </c>
      <c r="Y186" s="25"/>
      <c r="Z186" s="25"/>
      <c r="AA186" s="25"/>
      <c r="AB186" s="25"/>
      <c r="AC186" s="25" t="str">
        <f>TRIM(StudentScore[[#This Row],[Student Email]])</f>
        <v>kitchayut.sup@student.mahidol.ac.th</v>
      </c>
    </row>
    <row r="187" spans="1:29" ht="27">
      <c r="A187" s="15">
        <v>181</v>
      </c>
      <c r="B187" s="16">
        <f t="shared" si="12"/>
        <v>62</v>
      </c>
      <c r="C187" s="27">
        <f t="shared" si="13"/>
        <v>2022</v>
      </c>
      <c r="D187" s="54"/>
      <c r="E187" s="17">
        <v>6288050</v>
      </c>
      <c r="F187" s="14" t="s">
        <v>38</v>
      </c>
      <c r="G187" s="14" t="s">
        <v>838</v>
      </c>
      <c r="H187" s="18" t="s">
        <v>839</v>
      </c>
      <c r="I187" s="25" t="s">
        <v>102</v>
      </c>
      <c r="J187" s="25">
        <v>79</v>
      </c>
      <c r="K187" s="25"/>
      <c r="L187" s="25"/>
      <c r="M187" s="25"/>
      <c r="N187" s="25"/>
      <c r="O187" s="25"/>
      <c r="P187" s="25"/>
      <c r="Q187" s="25"/>
      <c r="R187" s="25"/>
      <c r="S187" s="35">
        <v>44892</v>
      </c>
      <c r="T187" s="35">
        <v>44935</v>
      </c>
      <c r="U187" s="25"/>
      <c r="V187" s="25"/>
      <c r="W187" s="25" t="s">
        <v>840</v>
      </c>
      <c r="X187" s="25" t="s">
        <v>841</v>
      </c>
      <c r="Y187" s="25"/>
      <c r="Z187" s="25"/>
      <c r="AA187" s="25"/>
      <c r="AB187" s="25"/>
      <c r="AC187" s="25" t="str">
        <f>TRIM(StudentScore[[#This Row],[Student Email]])</f>
        <v>pongsakorn.tay@student.mahidol.ac.th</v>
      </c>
    </row>
    <row r="188" spans="1:29" ht="27">
      <c r="A188" s="15">
        <v>182</v>
      </c>
      <c r="B188" s="16">
        <f t="shared" si="12"/>
        <v>62</v>
      </c>
      <c r="C188" s="27">
        <f t="shared" si="13"/>
        <v>2022</v>
      </c>
      <c r="D188" s="54"/>
      <c r="E188" s="17">
        <v>6288051</v>
      </c>
      <c r="F188" s="14" t="s">
        <v>38</v>
      </c>
      <c r="G188" s="14" t="s">
        <v>842</v>
      </c>
      <c r="H188" s="18" t="s">
        <v>843</v>
      </c>
      <c r="I188" s="25" t="s">
        <v>102</v>
      </c>
      <c r="J188" s="25">
        <v>86</v>
      </c>
      <c r="K188" s="25"/>
      <c r="L188" s="25"/>
      <c r="M188" s="25"/>
      <c r="N188" s="25"/>
      <c r="O188" s="25"/>
      <c r="P188" s="25"/>
      <c r="Q188" s="25"/>
      <c r="R188" s="25"/>
      <c r="S188" s="25"/>
      <c r="T188" s="51">
        <v>44531</v>
      </c>
      <c r="U188" s="25"/>
      <c r="V188" s="25"/>
      <c r="W188" s="25" t="s">
        <v>844</v>
      </c>
      <c r="X188" s="25" t="s">
        <v>845</v>
      </c>
      <c r="Y188" s="25"/>
      <c r="Z188" s="25"/>
      <c r="AA188" s="25"/>
      <c r="AB188" s="25"/>
      <c r="AC188" s="25" t="str">
        <f>TRIM(StudentScore[[#This Row],[Student Email]])</f>
        <v>thanawit.thm@student.mahidol.ac.th</v>
      </c>
    </row>
    <row r="189" spans="1:29" ht="27">
      <c r="A189" s="15">
        <v>183</v>
      </c>
      <c r="B189" s="16">
        <f t="shared" si="12"/>
        <v>62</v>
      </c>
      <c r="C189" s="27">
        <f t="shared" si="13"/>
        <v>2022</v>
      </c>
      <c r="D189" s="54"/>
      <c r="E189" s="17">
        <v>6288052</v>
      </c>
      <c r="F189" s="14" t="s">
        <v>117</v>
      </c>
      <c r="G189" s="14" t="s">
        <v>846</v>
      </c>
      <c r="H189" s="18" t="s">
        <v>847</v>
      </c>
      <c r="I189" s="25" t="s">
        <v>48</v>
      </c>
      <c r="J189" s="25">
        <v>645</v>
      </c>
      <c r="K189" s="25">
        <v>305</v>
      </c>
      <c r="L189" s="25">
        <v>340</v>
      </c>
      <c r="M189" s="25"/>
      <c r="N189" s="25"/>
      <c r="O189" s="25"/>
      <c r="P189" s="25"/>
      <c r="Q189" s="25"/>
      <c r="R189" s="25"/>
      <c r="S189" s="35">
        <v>43796</v>
      </c>
      <c r="T189" s="51">
        <v>43770</v>
      </c>
      <c r="U189" s="25"/>
      <c r="V189" s="25"/>
      <c r="W189" s="25" t="s">
        <v>848</v>
      </c>
      <c r="X189" s="25" t="s">
        <v>849</v>
      </c>
      <c r="Y189" s="25"/>
      <c r="Z189" s="25"/>
      <c r="AA189" s="25"/>
      <c r="AB189" s="25"/>
      <c r="AC189" s="25" t="str">
        <f>TRIM(StudentScore[[#This Row],[Student Email]])</f>
        <v>mananchayaporn.tha@student.mahidol.ac.th</v>
      </c>
    </row>
    <row r="190" spans="1:29" ht="27">
      <c r="A190" s="15">
        <v>184</v>
      </c>
      <c r="B190" s="16">
        <f t="shared" si="12"/>
        <v>62</v>
      </c>
      <c r="C190" s="27">
        <f t="shared" si="13"/>
        <v>2022</v>
      </c>
      <c r="D190" s="54"/>
      <c r="E190" s="17">
        <v>6288053</v>
      </c>
      <c r="F190" s="14" t="s">
        <v>117</v>
      </c>
      <c r="G190" s="14" t="s">
        <v>850</v>
      </c>
      <c r="H190" s="18" t="s">
        <v>851</v>
      </c>
      <c r="I190" s="25" t="s">
        <v>102</v>
      </c>
      <c r="J190" s="25">
        <v>75</v>
      </c>
      <c r="K190" s="25"/>
      <c r="L190" s="25"/>
      <c r="M190" s="25"/>
      <c r="N190" s="25"/>
      <c r="O190" s="25"/>
      <c r="P190" s="25"/>
      <c r="Q190" s="25"/>
      <c r="R190" s="25"/>
      <c r="S190" s="25"/>
      <c r="T190" s="51">
        <v>44682</v>
      </c>
      <c r="U190" s="25"/>
      <c r="V190" s="25"/>
      <c r="W190" s="25" t="s">
        <v>852</v>
      </c>
      <c r="X190" s="25" t="s">
        <v>853</v>
      </c>
      <c r="Y190" s="25"/>
      <c r="Z190" s="25"/>
      <c r="AA190" s="25"/>
      <c r="AB190" s="25"/>
      <c r="AC190" s="25" t="str">
        <f>TRIM(StudentScore[[#This Row],[Student Email]])</f>
        <v>natchaya.tho@student.mahidol.ac.th</v>
      </c>
    </row>
    <row r="191" spans="1:29" ht="27">
      <c r="A191" s="15">
        <v>185</v>
      </c>
      <c r="B191" s="16">
        <f t="shared" si="12"/>
        <v>62</v>
      </c>
      <c r="C191" s="27">
        <f t="shared" si="13"/>
        <v>2022</v>
      </c>
      <c r="D191" s="54"/>
      <c r="E191" s="17">
        <v>6288055</v>
      </c>
      <c r="F191" s="14" t="s">
        <v>117</v>
      </c>
      <c r="G191" s="14" t="s">
        <v>854</v>
      </c>
      <c r="H191" s="18" t="s">
        <v>855</v>
      </c>
      <c r="I191" s="25" t="s">
        <v>102</v>
      </c>
      <c r="J191" s="25">
        <v>84</v>
      </c>
      <c r="K191" s="25"/>
      <c r="L191" s="25"/>
      <c r="M191" s="25"/>
      <c r="N191" s="25"/>
      <c r="O191" s="25"/>
      <c r="P191" s="25"/>
      <c r="Q191" s="25"/>
      <c r="R191" s="25"/>
      <c r="S191" s="25"/>
      <c r="T191" s="51">
        <v>44531</v>
      </c>
      <c r="U191" s="25"/>
      <c r="V191" s="25"/>
      <c r="W191" s="25" t="s">
        <v>856</v>
      </c>
      <c r="X191" s="25" t="s">
        <v>857</v>
      </c>
      <c r="Y191" s="25"/>
      <c r="Z191" s="25"/>
      <c r="AA191" s="25"/>
      <c r="AB191" s="25"/>
      <c r="AC191" s="25" t="str">
        <f>TRIM(StudentScore[[#This Row],[Student Email]])</f>
        <v>nithinee.tri@student.mahidol.ac.th</v>
      </c>
    </row>
    <row r="192" spans="1:29" ht="27">
      <c r="A192" s="15">
        <v>186</v>
      </c>
      <c r="B192" s="16">
        <f t="shared" si="12"/>
        <v>62</v>
      </c>
      <c r="C192" s="27">
        <f t="shared" si="13"/>
        <v>2022</v>
      </c>
      <c r="D192" s="54"/>
      <c r="E192" s="17">
        <v>6288056</v>
      </c>
      <c r="F192" s="14" t="s">
        <v>117</v>
      </c>
      <c r="G192" s="14" t="s">
        <v>858</v>
      </c>
      <c r="H192" s="18" t="s">
        <v>859</v>
      </c>
      <c r="I192" s="25" t="s">
        <v>102</v>
      </c>
      <c r="J192" s="25">
        <v>85</v>
      </c>
      <c r="K192" s="25"/>
      <c r="L192" s="25"/>
      <c r="M192" s="25"/>
      <c r="N192" s="25"/>
      <c r="O192" s="25"/>
      <c r="P192" s="25"/>
      <c r="Q192" s="25"/>
      <c r="R192" s="25"/>
      <c r="S192" s="25"/>
      <c r="T192" s="51">
        <v>44531</v>
      </c>
      <c r="U192" s="25"/>
      <c r="V192" s="25"/>
      <c r="W192" s="25" t="s">
        <v>860</v>
      </c>
      <c r="X192" s="25" t="s">
        <v>861</v>
      </c>
      <c r="Y192" s="25"/>
      <c r="Z192" s="25"/>
      <c r="AA192" s="25"/>
      <c r="AB192" s="25"/>
      <c r="AC192" s="25" t="str">
        <f>TRIM(StudentScore[[#This Row],[Student Email]])</f>
        <v>tanyasiri.mek@student.mahidol.ac.th</v>
      </c>
    </row>
    <row r="193" spans="1:29" ht="27">
      <c r="A193" s="15">
        <v>187</v>
      </c>
      <c r="B193" s="16">
        <f t="shared" si="12"/>
        <v>62</v>
      </c>
      <c r="C193" s="27">
        <f t="shared" si="13"/>
        <v>2022</v>
      </c>
      <c r="D193" s="54"/>
      <c r="E193" s="17">
        <v>6288057</v>
      </c>
      <c r="F193" s="14" t="s">
        <v>38</v>
      </c>
      <c r="G193" s="14" t="s">
        <v>862</v>
      </c>
      <c r="H193" s="18" t="s">
        <v>863</v>
      </c>
      <c r="I193" s="25" t="s">
        <v>64</v>
      </c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 t="s">
        <v>864</v>
      </c>
      <c r="X193" s="25" t="s">
        <v>865</v>
      </c>
      <c r="Y193" s="25"/>
      <c r="Z193" s="25"/>
      <c r="AA193" s="25"/>
      <c r="AB193" s="25"/>
      <c r="AC193" s="25" t="str">
        <f>TRIM(StudentScore[[#This Row],[Student Email]])</f>
        <v>krittinon.wan@student.mahidol.ac.th</v>
      </c>
    </row>
    <row r="194" spans="1:29" ht="27">
      <c r="A194" s="15">
        <v>188</v>
      </c>
      <c r="B194" s="16">
        <f t="shared" si="12"/>
        <v>62</v>
      </c>
      <c r="C194" s="27">
        <f t="shared" si="13"/>
        <v>2022</v>
      </c>
      <c r="D194" s="54"/>
      <c r="E194" s="17">
        <v>6288058</v>
      </c>
      <c r="F194" s="14" t="s">
        <v>38</v>
      </c>
      <c r="G194" s="14" t="s">
        <v>866</v>
      </c>
      <c r="H194" s="18" t="s">
        <v>867</v>
      </c>
      <c r="I194" s="25" t="s">
        <v>102</v>
      </c>
      <c r="J194" s="25">
        <v>86</v>
      </c>
      <c r="K194" s="25"/>
      <c r="L194" s="25"/>
      <c r="M194" s="25"/>
      <c r="N194" s="25"/>
      <c r="O194" s="25"/>
      <c r="P194" s="25"/>
      <c r="Q194" s="25"/>
      <c r="R194" s="25"/>
      <c r="S194" s="25"/>
      <c r="T194" s="51">
        <v>44531</v>
      </c>
      <c r="U194" s="25"/>
      <c r="V194" s="25"/>
      <c r="W194" s="25" t="s">
        <v>868</v>
      </c>
      <c r="X194" s="25" t="s">
        <v>869</v>
      </c>
      <c r="Y194" s="25"/>
      <c r="Z194" s="25"/>
      <c r="AA194" s="25"/>
      <c r="AB194" s="25"/>
      <c r="AC194" s="25" t="str">
        <f>TRIM(StudentScore[[#This Row],[Student Email]])</f>
        <v>picha.wan@student.mahidol.ac.th</v>
      </c>
    </row>
    <row r="195" spans="1:29" ht="27">
      <c r="A195" s="15">
        <v>189</v>
      </c>
      <c r="B195" s="16">
        <f t="shared" si="12"/>
        <v>62</v>
      </c>
      <c r="C195" s="27">
        <f t="shared" si="13"/>
        <v>2022</v>
      </c>
      <c r="D195" s="54"/>
      <c r="E195" s="17">
        <v>6288059</v>
      </c>
      <c r="F195" s="14" t="s">
        <v>38</v>
      </c>
      <c r="G195" s="14" t="s">
        <v>870</v>
      </c>
      <c r="H195" s="18" t="s">
        <v>871</v>
      </c>
      <c r="I195" s="25" t="s">
        <v>102</v>
      </c>
      <c r="J195" s="25">
        <v>89</v>
      </c>
      <c r="K195" s="25"/>
      <c r="L195" s="25"/>
      <c r="M195" s="25"/>
      <c r="N195" s="25"/>
      <c r="O195" s="25"/>
      <c r="P195" s="25"/>
      <c r="Q195" s="25"/>
      <c r="R195" s="25"/>
      <c r="S195" s="25"/>
      <c r="T195" s="51">
        <v>44682</v>
      </c>
      <c r="U195" s="25"/>
      <c r="V195" s="25"/>
      <c r="W195" s="25" t="s">
        <v>872</v>
      </c>
      <c r="X195" s="25" t="s">
        <v>873</v>
      </c>
      <c r="Y195" s="25"/>
      <c r="Z195" s="25"/>
      <c r="AA195" s="25"/>
      <c r="AB195" s="25"/>
      <c r="AC195" s="25" t="str">
        <f>TRIM(StudentScore[[#This Row],[Student Email]])</f>
        <v>detbodi.wet@student.mahidol.ac.th</v>
      </c>
    </row>
    <row r="196" spans="1:29" ht="27">
      <c r="A196" s="15">
        <v>190</v>
      </c>
      <c r="B196" s="16">
        <f t="shared" si="12"/>
        <v>62</v>
      </c>
      <c r="C196" s="27">
        <f t="shared" si="13"/>
        <v>2022</v>
      </c>
      <c r="D196" s="54"/>
      <c r="E196" s="17">
        <v>6288060</v>
      </c>
      <c r="F196" s="14" t="s">
        <v>117</v>
      </c>
      <c r="G196" s="14" t="s">
        <v>874</v>
      </c>
      <c r="H196" s="18" t="s">
        <v>875</v>
      </c>
      <c r="I196" s="25" t="s">
        <v>102</v>
      </c>
      <c r="J196" s="25">
        <v>90</v>
      </c>
      <c r="K196" s="25"/>
      <c r="L196" s="25"/>
      <c r="M196" s="25"/>
      <c r="N196" s="25"/>
      <c r="O196" s="25"/>
      <c r="P196" s="25"/>
      <c r="Q196" s="25"/>
      <c r="R196" s="25"/>
      <c r="S196" s="25"/>
      <c r="T196" s="51">
        <v>44531</v>
      </c>
      <c r="U196" s="25"/>
      <c r="V196" s="25"/>
      <c r="W196" s="25" t="s">
        <v>876</v>
      </c>
      <c r="X196" s="25" t="s">
        <v>877</v>
      </c>
      <c r="Y196" s="25"/>
      <c r="Z196" s="25"/>
      <c r="AA196" s="25"/>
      <c r="AB196" s="25"/>
      <c r="AC196" s="25" t="str">
        <f>TRIM(StudentScore[[#This Row],[Student Email]])</f>
        <v>anyamanee.ama@student.mahidol.ac.th</v>
      </c>
    </row>
    <row r="197" spans="1:29" ht="27">
      <c r="A197" s="15">
        <v>191</v>
      </c>
      <c r="B197" s="16">
        <f t="shared" si="12"/>
        <v>62</v>
      </c>
      <c r="C197" s="27">
        <f t="shared" si="13"/>
        <v>2022</v>
      </c>
      <c r="D197" s="54"/>
      <c r="E197" s="17">
        <v>6288061</v>
      </c>
      <c r="F197" s="14" t="s">
        <v>38</v>
      </c>
      <c r="G197" s="14" t="s">
        <v>878</v>
      </c>
      <c r="H197" s="18" t="s">
        <v>879</v>
      </c>
      <c r="I197" s="25" t="s">
        <v>102</v>
      </c>
      <c r="J197" s="25">
        <v>86</v>
      </c>
      <c r="K197" s="25"/>
      <c r="L197" s="25"/>
      <c r="M197" s="25"/>
      <c r="N197" s="25"/>
      <c r="O197" s="25"/>
      <c r="P197" s="25"/>
      <c r="Q197" s="25"/>
      <c r="R197" s="25"/>
      <c r="S197" s="25"/>
      <c r="T197" s="51">
        <v>44531</v>
      </c>
      <c r="U197" s="25"/>
      <c r="V197" s="25"/>
      <c r="W197" s="25" t="s">
        <v>880</v>
      </c>
      <c r="X197" s="25" t="s">
        <v>881</v>
      </c>
      <c r="Y197" s="25"/>
      <c r="Z197" s="25"/>
      <c r="AA197" s="25"/>
      <c r="AB197" s="25"/>
      <c r="AC197" s="25" t="str">
        <f>TRIM(StudentScore[[#This Row],[Student Email]])</f>
        <v>chaiyasit.api@student.mahidol.ac.th</v>
      </c>
    </row>
    <row r="198" spans="1:29" ht="27">
      <c r="A198" s="15">
        <v>192</v>
      </c>
      <c r="B198" s="16">
        <f t="shared" si="12"/>
        <v>62</v>
      </c>
      <c r="C198" s="27">
        <f t="shared" si="13"/>
        <v>2022</v>
      </c>
      <c r="D198" s="54"/>
      <c r="E198" s="17">
        <v>6288062</v>
      </c>
      <c r="F198" s="14" t="s">
        <v>38</v>
      </c>
      <c r="G198" s="14" t="s">
        <v>882</v>
      </c>
      <c r="H198" s="18" t="s">
        <v>883</v>
      </c>
      <c r="I198" s="25" t="s">
        <v>244</v>
      </c>
      <c r="J198" s="25" t="s">
        <v>884</v>
      </c>
      <c r="K198" s="25">
        <v>6</v>
      </c>
      <c r="L198" s="25">
        <v>6</v>
      </c>
      <c r="M198" s="25">
        <v>4.5</v>
      </c>
      <c r="N198" s="25">
        <v>5.5</v>
      </c>
      <c r="O198" s="25"/>
      <c r="P198" s="25"/>
      <c r="Q198" s="25"/>
      <c r="R198" s="25"/>
      <c r="S198" s="35">
        <v>43414</v>
      </c>
      <c r="T198" s="51">
        <v>43678</v>
      </c>
      <c r="U198" s="25"/>
      <c r="V198" s="25"/>
      <c r="W198" s="25"/>
      <c r="X198" s="25" t="s">
        <v>885</v>
      </c>
      <c r="Y198" s="25"/>
      <c r="Z198" s="25"/>
      <c r="AA198" s="25"/>
      <c r="AB198" s="25"/>
      <c r="AC198" s="25" t="str">
        <f>TRIM(StudentScore[[#This Row],[Student Email]])</f>
        <v>sarat.aru@student.mahidol.ac.th</v>
      </c>
    </row>
    <row r="199" spans="1:29" ht="27">
      <c r="A199" s="15">
        <v>193</v>
      </c>
      <c r="B199" s="16">
        <f t="shared" si="12"/>
        <v>62</v>
      </c>
      <c r="C199" s="27">
        <f t="shared" si="13"/>
        <v>2022</v>
      </c>
      <c r="D199" s="54"/>
      <c r="E199" s="17">
        <v>6288063</v>
      </c>
      <c r="F199" s="14" t="s">
        <v>38</v>
      </c>
      <c r="G199" s="14" t="s">
        <v>886</v>
      </c>
      <c r="H199" s="18" t="s">
        <v>887</v>
      </c>
      <c r="I199" s="25" t="s">
        <v>64</v>
      </c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 t="s">
        <v>888</v>
      </c>
      <c r="X199" s="25" t="s">
        <v>889</v>
      </c>
      <c r="Y199" s="25"/>
      <c r="Z199" s="25"/>
      <c r="AA199" s="25"/>
      <c r="AB199" s="25"/>
      <c r="AC199" s="25" t="str">
        <f>TRIM(StudentScore[[#This Row],[Student Email]])</f>
        <v>thachaphon.ass@student.mahidol.ac.th</v>
      </c>
    </row>
    <row r="200" spans="1:29" ht="27">
      <c r="A200" s="15">
        <v>194</v>
      </c>
      <c r="B200" s="16">
        <f t="shared" si="12"/>
        <v>62</v>
      </c>
      <c r="C200" s="27">
        <f t="shared" si="13"/>
        <v>2022</v>
      </c>
      <c r="D200" s="54"/>
      <c r="E200" s="17">
        <v>6288064</v>
      </c>
      <c r="F200" s="14" t="s">
        <v>117</v>
      </c>
      <c r="G200" s="14" t="s">
        <v>890</v>
      </c>
      <c r="H200" s="18" t="s">
        <v>891</v>
      </c>
      <c r="I200" s="25" t="s">
        <v>53</v>
      </c>
      <c r="J200" s="25">
        <v>106</v>
      </c>
      <c r="K200" s="25">
        <v>47</v>
      </c>
      <c r="L200" s="25">
        <v>59</v>
      </c>
      <c r="M200" s="25"/>
      <c r="N200" s="25"/>
      <c r="O200" s="25"/>
      <c r="P200" s="25"/>
      <c r="Q200" s="25"/>
      <c r="R200" s="25"/>
      <c r="S200" s="35">
        <v>44160</v>
      </c>
      <c r="T200" s="51">
        <v>44440</v>
      </c>
      <c r="U200" s="25"/>
      <c r="V200" s="25"/>
      <c r="W200" s="25" t="s">
        <v>892</v>
      </c>
      <c r="X200" s="25" t="s">
        <v>893</v>
      </c>
      <c r="Y200" s="25"/>
      <c r="Z200" s="25"/>
      <c r="AA200" s="25"/>
      <c r="AB200" s="25"/>
      <c r="AC200" s="25" t="str">
        <f>TRIM(StudentScore[[#This Row],[Student Email]])</f>
        <v>kanpitcha.ass@student.mahidol.ac.th</v>
      </c>
    </row>
    <row r="201" spans="1:29" ht="27">
      <c r="A201" s="15">
        <v>195</v>
      </c>
      <c r="B201" s="16">
        <f t="shared" ref="B201:B264" si="14">VALUE(LEFT(E201,2))</f>
        <v>62</v>
      </c>
      <c r="C201" s="27">
        <f t="shared" ref="C201:C264" si="15">VALUE("25"&amp;B201)-543+3</f>
        <v>2022</v>
      </c>
      <c r="D201" s="54"/>
      <c r="E201" s="17">
        <v>6288065</v>
      </c>
      <c r="F201" s="14" t="s">
        <v>117</v>
      </c>
      <c r="G201" s="14" t="s">
        <v>894</v>
      </c>
      <c r="H201" s="18" t="s">
        <v>895</v>
      </c>
      <c r="I201" s="25" t="s">
        <v>48</v>
      </c>
      <c r="J201" s="25">
        <v>815</v>
      </c>
      <c r="K201" s="25">
        <v>420</v>
      </c>
      <c r="L201" s="25">
        <v>395</v>
      </c>
      <c r="M201" s="25"/>
      <c r="N201" s="25"/>
      <c r="O201" s="25"/>
      <c r="P201" s="25"/>
      <c r="Q201" s="25"/>
      <c r="R201" s="25"/>
      <c r="S201" s="35">
        <v>44153</v>
      </c>
      <c r="T201" s="51">
        <v>44166</v>
      </c>
      <c r="U201" s="25"/>
      <c r="V201" s="25"/>
      <c r="W201" s="25" t="s">
        <v>896</v>
      </c>
      <c r="X201" s="25" t="s">
        <v>897</v>
      </c>
      <c r="Y201" s="25"/>
      <c r="Z201" s="25"/>
      <c r="AA201" s="25"/>
      <c r="AB201" s="25"/>
      <c r="AC201" s="25" t="str">
        <f>TRIM(StudentScore[[#This Row],[Student Email]])</f>
        <v>worakamol.cha@student.mahidol.ac.th</v>
      </c>
    </row>
    <row r="202" spans="1:29" ht="27">
      <c r="A202" s="15">
        <v>196</v>
      </c>
      <c r="B202" s="16">
        <f t="shared" si="14"/>
        <v>62</v>
      </c>
      <c r="C202" s="27">
        <f t="shared" si="15"/>
        <v>2022</v>
      </c>
      <c r="D202" s="54"/>
      <c r="E202" s="17">
        <v>6288066</v>
      </c>
      <c r="F202" s="14" t="s">
        <v>38</v>
      </c>
      <c r="G202" s="14" t="s">
        <v>898</v>
      </c>
      <c r="H202" s="18" t="s">
        <v>899</v>
      </c>
      <c r="I202" s="25" t="s">
        <v>102</v>
      </c>
      <c r="J202" s="25">
        <v>86</v>
      </c>
      <c r="K202" s="25"/>
      <c r="L202" s="25"/>
      <c r="M202" s="25"/>
      <c r="N202" s="25"/>
      <c r="O202" s="25"/>
      <c r="P202" s="25"/>
      <c r="Q202" s="25"/>
      <c r="R202" s="25"/>
      <c r="S202" s="35">
        <v>44892</v>
      </c>
      <c r="T202" s="35">
        <v>44935</v>
      </c>
      <c r="U202" s="25"/>
      <c r="V202" s="25"/>
      <c r="W202" s="25" t="s">
        <v>900</v>
      </c>
      <c r="X202" s="25" t="s">
        <v>901</v>
      </c>
      <c r="Y202" s="25"/>
      <c r="Z202" s="25"/>
      <c r="AA202" s="25"/>
      <c r="AB202" s="25"/>
      <c r="AC202" s="25" t="str">
        <f>TRIM(StudentScore[[#This Row],[Student Email]])</f>
        <v>nutsongwat.cha@student.mahidol.ac.th</v>
      </c>
    </row>
    <row r="203" spans="1:29" ht="27">
      <c r="A203" s="15">
        <v>197</v>
      </c>
      <c r="B203" s="16">
        <f t="shared" si="14"/>
        <v>62</v>
      </c>
      <c r="C203" s="27">
        <f t="shared" si="15"/>
        <v>2022</v>
      </c>
      <c r="D203" s="54"/>
      <c r="E203" s="17">
        <v>6288067</v>
      </c>
      <c r="F203" s="14" t="s">
        <v>38</v>
      </c>
      <c r="G203" s="14" t="s">
        <v>902</v>
      </c>
      <c r="H203" s="18" t="s">
        <v>903</v>
      </c>
      <c r="I203" s="25" t="s">
        <v>102</v>
      </c>
      <c r="J203" s="25">
        <v>76</v>
      </c>
      <c r="K203" s="25"/>
      <c r="L203" s="25"/>
      <c r="M203" s="25"/>
      <c r="N203" s="25"/>
      <c r="O203" s="25"/>
      <c r="P203" s="25"/>
      <c r="Q203" s="25"/>
      <c r="R203" s="25"/>
      <c r="S203" s="25"/>
      <c r="T203" s="51">
        <v>44531</v>
      </c>
      <c r="U203" s="25"/>
      <c r="V203" s="25"/>
      <c r="W203" s="25" t="s">
        <v>904</v>
      </c>
      <c r="X203" s="25" t="s">
        <v>905</v>
      </c>
      <c r="Y203" s="25"/>
      <c r="Z203" s="25"/>
      <c r="AA203" s="25"/>
      <c r="AB203" s="25"/>
      <c r="AC203" s="25" t="str">
        <f>TRIM(StudentScore[[#This Row],[Student Email]])</f>
        <v>suphakorn.cht@student.mahidol.ac.th</v>
      </c>
    </row>
    <row r="204" spans="1:29" ht="27">
      <c r="A204" s="15">
        <v>198</v>
      </c>
      <c r="B204" s="16">
        <f t="shared" si="14"/>
        <v>62</v>
      </c>
      <c r="C204" s="27">
        <f t="shared" si="15"/>
        <v>2022</v>
      </c>
      <c r="D204" s="54"/>
      <c r="E204" s="17">
        <v>6288068</v>
      </c>
      <c r="F204" s="14" t="s">
        <v>38</v>
      </c>
      <c r="G204" s="14" t="s">
        <v>906</v>
      </c>
      <c r="H204" s="18" t="s">
        <v>907</v>
      </c>
      <c r="I204" s="25" t="s">
        <v>102</v>
      </c>
      <c r="J204" s="25">
        <v>79</v>
      </c>
      <c r="K204" s="25"/>
      <c r="L204" s="25"/>
      <c r="M204" s="25"/>
      <c r="N204" s="25"/>
      <c r="O204" s="25"/>
      <c r="P204" s="25"/>
      <c r="Q204" s="25"/>
      <c r="R204" s="25"/>
      <c r="S204" s="35">
        <v>44892</v>
      </c>
      <c r="T204" s="35">
        <v>44935</v>
      </c>
      <c r="U204" s="25"/>
      <c r="V204" s="25"/>
      <c r="W204" s="25" t="s">
        <v>908</v>
      </c>
      <c r="X204" s="25" t="s">
        <v>909</v>
      </c>
      <c r="Y204" s="25"/>
      <c r="Z204" s="25"/>
      <c r="AA204" s="25"/>
      <c r="AB204" s="25"/>
      <c r="AC204" s="25" t="str">
        <f>TRIM(StudentScore[[#This Row],[Student Email]])</f>
        <v>natthachaimongkol.cha@student.mahidol.ac.th</v>
      </c>
    </row>
    <row r="205" spans="1:29" ht="27">
      <c r="A205" s="15">
        <v>199</v>
      </c>
      <c r="B205" s="16">
        <f t="shared" si="14"/>
        <v>62</v>
      </c>
      <c r="C205" s="27">
        <f t="shared" si="15"/>
        <v>2022</v>
      </c>
      <c r="D205" s="54"/>
      <c r="E205" s="17">
        <v>6288069</v>
      </c>
      <c r="F205" s="14" t="s">
        <v>117</v>
      </c>
      <c r="G205" s="14" t="s">
        <v>910</v>
      </c>
      <c r="H205" s="18" t="s">
        <v>911</v>
      </c>
      <c r="I205" s="25" t="s">
        <v>48</v>
      </c>
      <c r="J205" s="25">
        <v>690</v>
      </c>
      <c r="K205" s="25">
        <v>375</v>
      </c>
      <c r="L205" s="25">
        <v>315</v>
      </c>
      <c r="M205" s="25"/>
      <c r="N205" s="25"/>
      <c r="O205" s="25"/>
      <c r="P205" s="25"/>
      <c r="Q205" s="25"/>
      <c r="R205" s="25"/>
      <c r="S205" s="25" t="s">
        <v>783</v>
      </c>
      <c r="T205" s="51">
        <v>44805</v>
      </c>
      <c r="U205" s="25"/>
      <c r="V205" s="25"/>
      <c r="W205" s="25" t="s">
        <v>912</v>
      </c>
      <c r="X205" s="25" t="s">
        <v>913</v>
      </c>
      <c r="Y205" s="25"/>
      <c r="Z205" s="25"/>
      <c r="AA205" s="25"/>
      <c r="AB205" s="25"/>
      <c r="AC205" s="25" t="str">
        <f>TRIM(StudentScore[[#This Row],[Student Email]])</f>
        <v>napida.cho@student.mahidol.ac.th</v>
      </c>
    </row>
    <row r="206" spans="1:29" ht="27">
      <c r="A206" s="15">
        <v>200</v>
      </c>
      <c r="B206" s="16">
        <f t="shared" si="14"/>
        <v>62</v>
      </c>
      <c r="C206" s="27">
        <f t="shared" si="15"/>
        <v>2022</v>
      </c>
      <c r="D206" s="54"/>
      <c r="E206" s="17">
        <v>6288070</v>
      </c>
      <c r="F206" s="14" t="s">
        <v>117</v>
      </c>
      <c r="G206" s="14" t="s">
        <v>914</v>
      </c>
      <c r="H206" s="18" t="s">
        <v>915</v>
      </c>
      <c r="I206" s="25" t="s">
        <v>244</v>
      </c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 t="s">
        <v>916</v>
      </c>
      <c r="Y206" s="25"/>
      <c r="Z206" s="25"/>
      <c r="AA206" s="25"/>
      <c r="AB206" s="25"/>
      <c r="AC206" s="25" t="str">
        <f>TRIM(StudentScore[[#This Row],[Student Email]])</f>
        <v>sarida.jan@student.mahidol.ac.th</v>
      </c>
    </row>
    <row r="207" spans="1:29" ht="27">
      <c r="A207" s="15">
        <v>201</v>
      </c>
      <c r="B207" s="16">
        <f t="shared" si="14"/>
        <v>62</v>
      </c>
      <c r="C207" s="27">
        <f t="shared" si="15"/>
        <v>2022</v>
      </c>
      <c r="D207" s="54"/>
      <c r="E207" s="17">
        <v>6288071</v>
      </c>
      <c r="F207" s="14" t="s">
        <v>38</v>
      </c>
      <c r="G207" s="14" t="s">
        <v>917</v>
      </c>
      <c r="H207" s="18" t="s">
        <v>918</v>
      </c>
      <c r="I207" s="25" t="s">
        <v>124</v>
      </c>
      <c r="J207" s="25">
        <v>6</v>
      </c>
      <c r="K207" s="25">
        <v>6.5</v>
      </c>
      <c r="L207" s="25">
        <v>5.5</v>
      </c>
      <c r="M207" s="25">
        <v>4.5</v>
      </c>
      <c r="N207" s="25">
        <v>6.5</v>
      </c>
      <c r="O207" s="25"/>
      <c r="P207" s="25"/>
      <c r="Q207" s="25"/>
      <c r="R207" s="25"/>
      <c r="S207" s="25" t="s">
        <v>919</v>
      </c>
      <c r="T207" s="51">
        <v>43678</v>
      </c>
      <c r="U207" s="25"/>
      <c r="V207" s="25"/>
      <c r="W207" s="25" t="s">
        <v>920</v>
      </c>
      <c r="X207" s="25" t="s">
        <v>921</v>
      </c>
      <c r="Y207" s="25"/>
      <c r="Z207" s="25"/>
      <c r="AA207" s="25"/>
      <c r="AB207" s="25"/>
      <c r="AC207" s="25" t="str">
        <f>TRIM(StudentScore[[#This Row],[Student Email]])</f>
        <v>kasidis.cho@student.mahidol.ac.th</v>
      </c>
    </row>
    <row r="208" spans="1:29" ht="27">
      <c r="A208" s="15">
        <v>202</v>
      </c>
      <c r="B208" s="16">
        <f t="shared" si="14"/>
        <v>62</v>
      </c>
      <c r="C208" s="27">
        <f t="shared" si="15"/>
        <v>2022</v>
      </c>
      <c r="D208" s="54"/>
      <c r="E208" s="17">
        <v>6288072</v>
      </c>
      <c r="F208" s="14" t="s">
        <v>38</v>
      </c>
      <c r="G208" s="14" t="s">
        <v>922</v>
      </c>
      <c r="H208" s="18" t="s">
        <v>911</v>
      </c>
      <c r="I208" s="25" t="s">
        <v>48</v>
      </c>
      <c r="J208" s="25">
        <v>670</v>
      </c>
      <c r="K208" s="25">
        <v>355</v>
      </c>
      <c r="L208" s="25">
        <v>315</v>
      </c>
      <c r="M208" s="25"/>
      <c r="N208" s="25"/>
      <c r="O208" s="25"/>
      <c r="P208" s="25"/>
      <c r="Q208" s="25"/>
      <c r="R208" s="25"/>
      <c r="S208" s="26">
        <v>44811</v>
      </c>
      <c r="T208" s="51">
        <v>44835</v>
      </c>
      <c r="U208" s="25"/>
      <c r="V208" s="25" t="s">
        <v>1</v>
      </c>
      <c r="W208" s="25" t="s">
        <v>923</v>
      </c>
      <c r="X208" s="25" t="s">
        <v>924</v>
      </c>
      <c r="Y208" s="42">
        <v>44831.484710648147</v>
      </c>
      <c r="Z208" s="25" t="s">
        <v>925</v>
      </c>
      <c r="AA208" s="25"/>
      <c r="AB208" s="25"/>
      <c r="AC208" s="25" t="str">
        <f>TRIM(StudentScore[[#This Row],[Student Email]])</f>
        <v>pisitpong.cho@student.mahidol.ac.th</v>
      </c>
    </row>
    <row r="209" spans="1:29" ht="27">
      <c r="A209" s="15">
        <v>203</v>
      </c>
      <c r="B209" s="16">
        <f t="shared" si="14"/>
        <v>62</v>
      </c>
      <c r="C209" s="27">
        <f t="shared" si="15"/>
        <v>2022</v>
      </c>
      <c r="D209" s="54"/>
      <c r="E209" s="17">
        <v>6288073</v>
      </c>
      <c r="F209" s="14" t="s">
        <v>38</v>
      </c>
      <c r="G209" s="14" t="s">
        <v>926</v>
      </c>
      <c r="H209" s="18" t="s">
        <v>927</v>
      </c>
      <c r="I209" s="25" t="s">
        <v>102</v>
      </c>
      <c r="J209" s="25">
        <v>77</v>
      </c>
      <c r="K209" s="25"/>
      <c r="L209" s="25"/>
      <c r="M209" s="25"/>
      <c r="N209" s="25"/>
      <c r="O209" s="25"/>
      <c r="P209" s="25"/>
      <c r="Q209" s="25"/>
      <c r="R209" s="25"/>
      <c r="S209" s="25"/>
      <c r="T209" s="51">
        <v>44531</v>
      </c>
      <c r="U209" s="25"/>
      <c r="V209" s="25"/>
      <c r="W209" s="25" t="s">
        <v>928</v>
      </c>
      <c r="X209" s="25" t="s">
        <v>929</v>
      </c>
      <c r="Y209" s="25"/>
      <c r="Z209" s="25"/>
      <c r="AA209" s="25"/>
      <c r="AB209" s="25"/>
      <c r="AC209" s="25" t="str">
        <f>TRIM(StudentScore[[#This Row],[Student Email]])</f>
        <v>kittitad.jir@student.mahidol.ac.th</v>
      </c>
    </row>
    <row r="210" spans="1:29" ht="27">
      <c r="A210" s="15">
        <v>204</v>
      </c>
      <c r="B210" s="16">
        <f t="shared" si="14"/>
        <v>62</v>
      </c>
      <c r="C210" s="27">
        <f t="shared" si="15"/>
        <v>2022</v>
      </c>
      <c r="D210" s="54"/>
      <c r="E210" s="17">
        <v>6288074</v>
      </c>
      <c r="F210" s="14" t="s">
        <v>38</v>
      </c>
      <c r="G210" s="14" t="s">
        <v>930</v>
      </c>
      <c r="H210" s="18" t="s">
        <v>931</v>
      </c>
      <c r="I210" s="25" t="s">
        <v>53</v>
      </c>
      <c r="J210" s="25">
        <v>96</v>
      </c>
      <c r="K210" s="25">
        <v>52</v>
      </c>
      <c r="L210" s="25">
        <v>44</v>
      </c>
      <c r="M210" s="25"/>
      <c r="N210" s="25"/>
      <c r="O210" s="25"/>
      <c r="P210" s="25"/>
      <c r="Q210" s="25"/>
      <c r="R210" s="25"/>
      <c r="S210" s="26">
        <v>44643</v>
      </c>
      <c r="T210" s="35">
        <v>44670</v>
      </c>
      <c r="U210" s="25"/>
      <c r="V210" s="25"/>
      <c r="W210" s="25" t="s">
        <v>932</v>
      </c>
      <c r="X210" s="25" t="s">
        <v>933</v>
      </c>
      <c r="Y210" s="42">
        <v>44670.447974537034</v>
      </c>
      <c r="Z210" s="25" t="s">
        <v>934</v>
      </c>
      <c r="AA210" s="25"/>
      <c r="AB210" s="25"/>
      <c r="AC210" s="25" t="str">
        <f>TRIM(StudentScore[[#This Row],[Student Email]])</f>
        <v>rachata.chp@student.mahidol.ac.th</v>
      </c>
    </row>
    <row r="211" spans="1:29" ht="27">
      <c r="A211" s="15">
        <v>205</v>
      </c>
      <c r="B211" s="16">
        <f t="shared" si="14"/>
        <v>62</v>
      </c>
      <c r="C211" s="27">
        <f t="shared" si="15"/>
        <v>2022</v>
      </c>
      <c r="D211" s="54"/>
      <c r="E211" s="17">
        <v>6288075</v>
      </c>
      <c r="F211" s="14" t="s">
        <v>117</v>
      </c>
      <c r="G211" s="14" t="s">
        <v>935</v>
      </c>
      <c r="H211" s="18" t="s">
        <v>936</v>
      </c>
      <c r="I211" s="25" t="s">
        <v>244</v>
      </c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 t="s">
        <v>937</v>
      </c>
      <c r="Y211" s="25"/>
      <c r="Z211" s="25"/>
      <c r="AA211" s="25"/>
      <c r="AB211" s="25"/>
      <c r="AC211" s="25" t="str">
        <f>TRIM(StudentScore[[#This Row],[Student Email]])</f>
        <v>panthita.dam@student.mahidol.ac.th</v>
      </c>
    </row>
    <row r="212" spans="1:29" ht="27">
      <c r="A212" s="15">
        <v>206</v>
      </c>
      <c r="B212" s="16">
        <f t="shared" si="14"/>
        <v>62</v>
      </c>
      <c r="C212" s="27">
        <f t="shared" si="15"/>
        <v>2022</v>
      </c>
      <c r="D212" s="54"/>
      <c r="E212" s="17">
        <v>6288076</v>
      </c>
      <c r="F212" s="14" t="s">
        <v>38</v>
      </c>
      <c r="G212" s="14" t="s">
        <v>938</v>
      </c>
      <c r="H212" s="18" t="s">
        <v>939</v>
      </c>
      <c r="I212" s="25" t="s">
        <v>124</v>
      </c>
      <c r="J212" s="25">
        <v>5.5</v>
      </c>
      <c r="K212" s="25">
        <v>6</v>
      </c>
      <c r="L212" s="25">
        <v>5</v>
      </c>
      <c r="M212" s="25">
        <v>5.5</v>
      </c>
      <c r="N212" s="25">
        <v>5.5</v>
      </c>
      <c r="O212" s="25"/>
      <c r="P212" s="25"/>
      <c r="Q212" s="25"/>
      <c r="R212" s="25"/>
      <c r="S212" s="35">
        <v>43386</v>
      </c>
      <c r="T212" s="51">
        <v>43678</v>
      </c>
      <c r="U212" s="25"/>
      <c r="V212" s="25"/>
      <c r="W212" s="25" t="s">
        <v>940</v>
      </c>
      <c r="X212" s="25" t="s">
        <v>941</v>
      </c>
      <c r="Y212" s="25"/>
      <c r="Z212" s="25"/>
      <c r="AA212" s="25"/>
      <c r="AB212" s="25"/>
      <c r="AC212" s="25" t="str">
        <f>TRIM(StudentScore[[#This Row],[Student Email]])</f>
        <v>radchapol.ein@student.mahidol.ac.th</v>
      </c>
    </row>
    <row r="213" spans="1:29" ht="27">
      <c r="A213" s="15">
        <v>207</v>
      </c>
      <c r="B213" s="16">
        <f t="shared" si="14"/>
        <v>62</v>
      </c>
      <c r="C213" s="27">
        <f t="shared" si="15"/>
        <v>2022</v>
      </c>
      <c r="D213" s="54"/>
      <c r="E213" s="17">
        <v>6288077</v>
      </c>
      <c r="F213" s="14" t="s">
        <v>38</v>
      </c>
      <c r="G213" s="14" t="s">
        <v>942</v>
      </c>
      <c r="H213" s="18" t="s">
        <v>943</v>
      </c>
      <c r="I213" s="25" t="s">
        <v>102</v>
      </c>
      <c r="J213" s="25">
        <v>75</v>
      </c>
      <c r="K213" s="25"/>
      <c r="L213" s="25"/>
      <c r="M213" s="25"/>
      <c r="N213" s="25"/>
      <c r="O213" s="25"/>
      <c r="P213" s="25"/>
      <c r="Q213" s="25"/>
      <c r="R213" s="25"/>
      <c r="S213" s="25"/>
      <c r="T213" s="51">
        <v>44531</v>
      </c>
      <c r="U213" s="25"/>
      <c r="V213" s="25"/>
      <c r="W213" s="25" t="s">
        <v>944</v>
      </c>
      <c r="X213" s="25" t="s">
        <v>945</v>
      </c>
      <c r="Y213" s="25"/>
      <c r="Z213" s="25"/>
      <c r="AA213" s="25"/>
      <c r="AB213" s="25"/>
      <c r="AC213" s="25" t="str">
        <f>TRIM(StudentScore[[#This Row],[Student Email]])</f>
        <v>wasin.hee@student.mahidol.ac.th</v>
      </c>
    </row>
    <row r="214" spans="1:29" ht="27">
      <c r="A214" s="15">
        <v>208</v>
      </c>
      <c r="B214" s="16">
        <f t="shared" si="14"/>
        <v>62</v>
      </c>
      <c r="C214" s="27">
        <f t="shared" si="15"/>
        <v>2022</v>
      </c>
      <c r="D214" s="54"/>
      <c r="E214" s="17">
        <v>6288078</v>
      </c>
      <c r="F214" s="14" t="s">
        <v>38</v>
      </c>
      <c r="G214" s="14" t="s">
        <v>946</v>
      </c>
      <c r="H214" s="18" t="s">
        <v>947</v>
      </c>
      <c r="I214" s="25" t="s">
        <v>102</v>
      </c>
      <c r="J214" s="25">
        <v>88</v>
      </c>
      <c r="K214" s="25"/>
      <c r="L214" s="25"/>
      <c r="M214" s="25"/>
      <c r="N214" s="25"/>
      <c r="O214" s="25"/>
      <c r="P214" s="25"/>
      <c r="Q214" s="25"/>
      <c r="R214" s="25"/>
      <c r="S214" s="25"/>
      <c r="T214" s="51">
        <v>44531</v>
      </c>
      <c r="U214" s="25"/>
      <c r="V214" s="25"/>
      <c r="W214" s="25" t="s">
        <v>948</v>
      </c>
      <c r="X214" s="25" t="s">
        <v>949</v>
      </c>
      <c r="Y214" s="25"/>
      <c r="Z214" s="25"/>
      <c r="AA214" s="25"/>
      <c r="AB214" s="25"/>
      <c r="AC214" s="25" t="str">
        <f>TRIM(StudentScore[[#This Row],[Student Email]])</f>
        <v>konton.hon@student.mahidol.ac.th</v>
      </c>
    </row>
    <row r="215" spans="1:29" ht="27">
      <c r="A215" s="15">
        <v>209</v>
      </c>
      <c r="B215" s="16">
        <f t="shared" si="14"/>
        <v>62</v>
      </c>
      <c r="C215" s="27">
        <f t="shared" si="15"/>
        <v>2022</v>
      </c>
      <c r="D215" s="54"/>
      <c r="E215" s="17">
        <v>6288079</v>
      </c>
      <c r="F215" s="14" t="s">
        <v>117</v>
      </c>
      <c r="G215" s="14" t="s">
        <v>950</v>
      </c>
      <c r="H215" s="18" t="s">
        <v>951</v>
      </c>
      <c r="I215" s="25" t="s">
        <v>48</v>
      </c>
      <c r="J215" s="25">
        <v>815</v>
      </c>
      <c r="K215" s="25">
        <v>455</v>
      </c>
      <c r="L215" s="25">
        <v>360</v>
      </c>
      <c r="M215" s="25"/>
      <c r="N215" s="25"/>
      <c r="O215" s="25"/>
      <c r="P215" s="25"/>
      <c r="Q215" s="25"/>
      <c r="R215" s="25"/>
      <c r="S215" s="26">
        <v>44853</v>
      </c>
      <c r="T215" s="35">
        <v>44865</v>
      </c>
      <c r="U215" s="25"/>
      <c r="V215" s="25" t="s">
        <v>952</v>
      </c>
      <c r="W215" s="25" t="s">
        <v>953</v>
      </c>
      <c r="X215" s="25" t="s">
        <v>954</v>
      </c>
      <c r="Y215" s="42">
        <v>44865.549166666664</v>
      </c>
      <c r="Z215" s="28" t="s">
        <v>955</v>
      </c>
      <c r="AA215" s="25"/>
      <c r="AB215" s="25"/>
      <c r="AC215" s="25" t="str">
        <f>TRIM(StudentScore[[#This Row],[Student Email]])</f>
        <v>cholravee.kit@student.mahidol.ac.th</v>
      </c>
    </row>
    <row r="216" spans="1:29" ht="27">
      <c r="A216" s="15">
        <v>210</v>
      </c>
      <c r="B216" s="16">
        <f t="shared" si="14"/>
        <v>62</v>
      </c>
      <c r="C216" s="27">
        <f t="shared" si="15"/>
        <v>2022</v>
      </c>
      <c r="D216" s="54"/>
      <c r="E216" s="17">
        <v>6288080</v>
      </c>
      <c r="F216" s="14" t="s">
        <v>38</v>
      </c>
      <c r="G216" s="14" t="s">
        <v>956</v>
      </c>
      <c r="H216" s="18" t="s">
        <v>957</v>
      </c>
      <c r="I216" s="25" t="s">
        <v>48</v>
      </c>
      <c r="J216" s="25">
        <v>755</v>
      </c>
      <c r="K216" s="25">
        <v>430</v>
      </c>
      <c r="L216" s="25">
        <v>325</v>
      </c>
      <c r="M216" s="25"/>
      <c r="N216" s="25"/>
      <c r="O216" s="25"/>
      <c r="P216" s="25"/>
      <c r="Q216" s="25"/>
      <c r="R216" s="25"/>
      <c r="S216" s="35">
        <v>44727</v>
      </c>
      <c r="T216" s="51">
        <v>44835</v>
      </c>
      <c r="U216" s="25"/>
      <c r="V216" s="25"/>
      <c r="W216" s="25" t="s">
        <v>958</v>
      </c>
      <c r="X216" s="25" t="s">
        <v>959</v>
      </c>
      <c r="Y216" s="25"/>
      <c r="Z216" s="25"/>
      <c r="AA216" s="25"/>
      <c r="AB216" s="25"/>
      <c r="AC216" s="25" t="str">
        <f>TRIM(StudentScore[[#This Row],[Student Email]])</f>
        <v>jaranut.ler@student.mahidol.ac.th</v>
      </c>
    </row>
    <row r="217" spans="1:29" ht="27">
      <c r="A217" s="15">
        <v>211</v>
      </c>
      <c r="B217" s="16">
        <f t="shared" si="14"/>
        <v>62</v>
      </c>
      <c r="C217" s="27">
        <f t="shared" si="15"/>
        <v>2022</v>
      </c>
      <c r="D217" s="54"/>
      <c r="E217" s="17">
        <v>6288081</v>
      </c>
      <c r="F217" s="14" t="s">
        <v>38</v>
      </c>
      <c r="G217" s="14" t="s">
        <v>960</v>
      </c>
      <c r="H217" s="18" t="s">
        <v>961</v>
      </c>
      <c r="I217" s="25" t="s">
        <v>102</v>
      </c>
      <c r="J217" s="25">
        <v>91</v>
      </c>
      <c r="K217" s="25"/>
      <c r="L217" s="25"/>
      <c r="M217" s="25"/>
      <c r="N217" s="25"/>
      <c r="O217" s="25"/>
      <c r="P217" s="25"/>
      <c r="Q217" s="25"/>
      <c r="R217" s="25"/>
      <c r="S217" s="25"/>
      <c r="T217" s="51">
        <v>44531</v>
      </c>
      <c r="U217" s="25"/>
      <c r="V217" s="25"/>
      <c r="W217" s="25" t="s">
        <v>962</v>
      </c>
      <c r="X217" s="25" t="s">
        <v>963</v>
      </c>
      <c r="Y217" s="25"/>
      <c r="Z217" s="25"/>
      <c r="AA217" s="25"/>
      <c r="AB217" s="25"/>
      <c r="AC217" s="25" t="str">
        <f>TRIM(StudentScore[[#This Row],[Student Email]])</f>
        <v>tamakorn.jia@student.mahidol.ac.th</v>
      </c>
    </row>
    <row r="218" spans="1:29" ht="27">
      <c r="A218" s="15">
        <v>212</v>
      </c>
      <c r="B218" s="16">
        <f t="shared" si="14"/>
        <v>62</v>
      </c>
      <c r="C218" s="27">
        <f t="shared" si="15"/>
        <v>2022</v>
      </c>
      <c r="D218" s="54"/>
      <c r="E218" s="17">
        <v>6288082</v>
      </c>
      <c r="F218" s="14" t="s">
        <v>38</v>
      </c>
      <c r="G218" s="14" t="s">
        <v>964</v>
      </c>
      <c r="H218" s="18" t="s">
        <v>965</v>
      </c>
      <c r="I218" s="25" t="s">
        <v>244</v>
      </c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 t="s">
        <v>966</v>
      </c>
      <c r="Y218" s="25"/>
      <c r="Z218" s="25"/>
      <c r="AA218" s="25"/>
      <c r="AB218" s="25"/>
      <c r="AC218" s="25" t="str">
        <f>TRIM(StudentScore[[#This Row],[Student Email]])</f>
        <v>wattanachai.jin@student.mahidol.ac.th</v>
      </c>
    </row>
    <row r="219" spans="1:29" ht="27">
      <c r="A219" s="15">
        <v>213</v>
      </c>
      <c r="B219" s="16">
        <f t="shared" si="14"/>
        <v>62</v>
      </c>
      <c r="C219" s="27">
        <f t="shared" si="15"/>
        <v>2022</v>
      </c>
      <c r="D219" s="54"/>
      <c r="E219" s="17">
        <v>6288083</v>
      </c>
      <c r="F219" s="14" t="s">
        <v>117</v>
      </c>
      <c r="G219" s="14" t="s">
        <v>967</v>
      </c>
      <c r="H219" s="18" t="s">
        <v>968</v>
      </c>
      <c r="I219" s="25" t="s">
        <v>102</v>
      </c>
      <c r="J219" s="25">
        <v>86</v>
      </c>
      <c r="K219" s="25"/>
      <c r="L219" s="25"/>
      <c r="M219" s="25"/>
      <c r="N219" s="25"/>
      <c r="O219" s="25"/>
      <c r="P219" s="25"/>
      <c r="Q219" s="25"/>
      <c r="R219" s="25"/>
      <c r="S219" s="25"/>
      <c r="T219" s="51">
        <v>44531</v>
      </c>
      <c r="U219" s="25"/>
      <c r="V219" s="25"/>
      <c r="W219" s="25" t="s">
        <v>969</v>
      </c>
      <c r="X219" s="25" t="s">
        <v>970</v>
      </c>
      <c r="Y219" s="25"/>
      <c r="Z219" s="25"/>
      <c r="AA219" s="25"/>
      <c r="AB219" s="25"/>
      <c r="AC219" s="25" t="str">
        <f>TRIM(StudentScore[[#This Row],[Student Email]])</f>
        <v>thanapron.khu@student.mahidol.ac.th</v>
      </c>
    </row>
    <row r="220" spans="1:29" ht="27">
      <c r="A220" s="15">
        <v>214</v>
      </c>
      <c r="B220" s="16">
        <f t="shared" si="14"/>
        <v>62</v>
      </c>
      <c r="C220" s="27">
        <f t="shared" si="15"/>
        <v>2022</v>
      </c>
      <c r="D220" s="54"/>
      <c r="E220" s="17">
        <v>6288084</v>
      </c>
      <c r="F220" s="14" t="s">
        <v>117</v>
      </c>
      <c r="G220" s="14" t="s">
        <v>971</v>
      </c>
      <c r="H220" s="18" t="s">
        <v>972</v>
      </c>
      <c r="I220" s="25" t="s">
        <v>102</v>
      </c>
      <c r="J220" s="25">
        <v>85</v>
      </c>
      <c r="K220" s="25"/>
      <c r="L220" s="25"/>
      <c r="M220" s="25"/>
      <c r="N220" s="25"/>
      <c r="O220" s="25"/>
      <c r="P220" s="25"/>
      <c r="Q220" s="25"/>
      <c r="R220" s="25"/>
      <c r="S220" s="25"/>
      <c r="T220" s="51">
        <v>44531</v>
      </c>
      <c r="U220" s="25"/>
      <c r="V220" s="25"/>
      <c r="W220" s="25" t="s">
        <v>973</v>
      </c>
      <c r="X220" s="25" t="s">
        <v>974</v>
      </c>
      <c r="Y220" s="25"/>
      <c r="Z220" s="25"/>
      <c r="AA220" s="25"/>
      <c r="AB220" s="25"/>
      <c r="AC220" s="25" t="str">
        <f>TRIM(StudentScore[[#This Row],[Student Email]])</f>
        <v>jane.wat@student.mahidol.ac.th</v>
      </c>
    </row>
    <row r="221" spans="1:29" ht="27">
      <c r="A221" s="15">
        <v>215</v>
      </c>
      <c r="B221" s="16">
        <f t="shared" si="14"/>
        <v>62</v>
      </c>
      <c r="C221" s="27">
        <f t="shared" si="15"/>
        <v>2022</v>
      </c>
      <c r="D221" s="54"/>
      <c r="E221" s="17">
        <v>6288085</v>
      </c>
      <c r="F221" s="14" t="s">
        <v>38</v>
      </c>
      <c r="G221" s="14" t="s">
        <v>975</v>
      </c>
      <c r="H221" s="18" t="s">
        <v>976</v>
      </c>
      <c r="I221" s="25" t="s">
        <v>124</v>
      </c>
      <c r="J221" s="25">
        <v>6.5</v>
      </c>
      <c r="K221" s="25">
        <v>7</v>
      </c>
      <c r="L221" s="25">
        <v>7</v>
      </c>
      <c r="M221" s="25">
        <v>5</v>
      </c>
      <c r="N221" s="25">
        <v>7.5</v>
      </c>
      <c r="O221" s="25"/>
      <c r="P221" s="25"/>
      <c r="Q221" s="25"/>
      <c r="R221" s="25"/>
      <c r="S221" s="35">
        <v>43498</v>
      </c>
      <c r="T221" s="51">
        <v>43678</v>
      </c>
      <c r="U221" s="25"/>
      <c r="V221" s="25"/>
      <c r="W221" s="25" t="s">
        <v>977</v>
      </c>
      <c r="X221" s="25" t="s">
        <v>978</v>
      </c>
      <c r="Y221" s="25"/>
      <c r="Z221" s="25"/>
      <c r="AA221" s="25"/>
      <c r="AB221" s="25"/>
      <c r="AC221" s="25" t="str">
        <f>TRIM(StudentScore[[#This Row],[Student Email]])</f>
        <v>woravut.nge@student.mahidol.ac.th</v>
      </c>
    </row>
    <row r="222" spans="1:29" ht="27">
      <c r="A222" s="15">
        <v>216</v>
      </c>
      <c r="B222" s="16">
        <f t="shared" si="14"/>
        <v>62</v>
      </c>
      <c r="C222" s="27">
        <f t="shared" si="15"/>
        <v>2022</v>
      </c>
      <c r="D222" s="54"/>
      <c r="E222" s="17">
        <v>6288086</v>
      </c>
      <c r="F222" s="14" t="s">
        <v>38</v>
      </c>
      <c r="G222" s="14" t="s">
        <v>979</v>
      </c>
      <c r="H222" s="18" t="s">
        <v>980</v>
      </c>
      <c r="I222" s="25" t="s">
        <v>102</v>
      </c>
      <c r="J222" s="25">
        <v>78</v>
      </c>
      <c r="K222" s="25"/>
      <c r="L222" s="25"/>
      <c r="M222" s="25"/>
      <c r="N222" s="25"/>
      <c r="O222" s="25"/>
      <c r="P222" s="25"/>
      <c r="Q222" s="25"/>
      <c r="R222" s="25"/>
      <c r="S222" s="25"/>
      <c r="T222" s="51">
        <v>44531</v>
      </c>
      <c r="U222" s="25"/>
      <c r="V222" s="25"/>
      <c r="W222" s="25" t="s">
        <v>981</v>
      </c>
      <c r="X222" s="25" t="s">
        <v>982</v>
      </c>
      <c r="Y222" s="25"/>
      <c r="Z222" s="25"/>
      <c r="AA222" s="25"/>
      <c r="AB222" s="25"/>
      <c r="AC222" s="25" t="str">
        <f>TRIM(StudentScore[[#This Row],[Student Email]])</f>
        <v>chatchai.kri@student.mahidol.ac.th</v>
      </c>
    </row>
    <row r="223" spans="1:29" ht="27">
      <c r="A223" s="15">
        <v>217</v>
      </c>
      <c r="B223" s="16">
        <f t="shared" si="14"/>
        <v>62</v>
      </c>
      <c r="C223" s="27">
        <f t="shared" si="15"/>
        <v>2022</v>
      </c>
      <c r="D223" s="54"/>
      <c r="E223" s="17">
        <v>6288087</v>
      </c>
      <c r="F223" s="14" t="s">
        <v>38</v>
      </c>
      <c r="G223" s="14" t="s">
        <v>983</v>
      </c>
      <c r="H223" s="18" t="s">
        <v>984</v>
      </c>
      <c r="I223" s="25" t="s">
        <v>48</v>
      </c>
      <c r="J223" s="25">
        <v>845</v>
      </c>
      <c r="K223" s="25">
        <v>430</v>
      </c>
      <c r="L223" s="25">
        <v>415</v>
      </c>
      <c r="M223" s="25"/>
      <c r="N223" s="25"/>
      <c r="O223" s="25"/>
      <c r="P223" s="25"/>
      <c r="Q223" s="25"/>
      <c r="R223" s="25"/>
      <c r="S223" s="35">
        <v>44034</v>
      </c>
      <c r="T223" s="51">
        <v>44044</v>
      </c>
      <c r="U223" s="25"/>
      <c r="V223" s="25"/>
      <c r="W223" s="25" t="s">
        <v>985</v>
      </c>
      <c r="X223" s="25" t="s">
        <v>986</v>
      </c>
      <c r="Y223" s="25"/>
      <c r="Z223" s="25"/>
      <c r="AA223" s="25"/>
      <c r="AB223" s="25"/>
      <c r="AC223" s="25" t="str">
        <f>TRIM(StudentScore[[#This Row],[Student Email]])</f>
        <v>supakarn.lao@student.mahidol.ac.th</v>
      </c>
    </row>
    <row r="224" spans="1:29" ht="27">
      <c r="A224" s="15">
        <v>218</v>
      </c>
      <c r="B224" s="16">
        <f t="shared" si="14"/>
        <v>62</v>
      </c>
      <c r="C224" s="27">
        <f t="shared" si="15"/>
        <v>2022</v>
      </c>
      <c r="D224" s="54"/>
      <c r="E224" s="17">
        <v>6288088</v>
      </c>
      <c r="F224" s="14" t="s">
        <v>38</v>
      </c>
      <c r="G224" s="14" t="s">
        <v>987</v>
      </c>
      <c r="H224" s="18" t="s">
        <v>988</v>
      </c>
      <c r="I224" s="25" t="s">
        <v>53</v>
      </c>
      <c r="J224" s="25">
        <v>100</v>
      </c>
      <c r="K224" s="25">
        <v>49</v>
      </c>
      <c r="L224" s="25">
        <v>51</v>
      </c>
      <c r="M224" s="25"/>
      <c r="N224" s="25"/>
      <c r="O224" s="25"/>
      <c r="P224" s="25"/>
      <c r="Q224" s="25"/>
      <c r="R224" s="25"/>
      <c r="S224" s="26">
        <v>44644</v>
      </c>
      <c r="T224" s="35">
        <v>44679</v>
      </c>
      <c r="U224" s="25"/>
      <c r="V224" s="25"/>
      <c r="W224" s="25" t="s">
        <v>989</v>
      </c>
      <c r="X224" s="25" t="s">
        <v>990</v>
      </c>
      <c r="Y224" s="42">
        <v>44679.665914351855</v>
      </c>
      <c r="Z224" s="25" t="s">
        <v>991</v>
      </c>
      <c r="AA224" s="25"/>
      <c r="AB224" s="25"/>
      <c r="AC224" s="25" t="str">
        <f>TRIM(StudentScore[[#This Row],[Student Email]])</f>
        <v>nattapon.let@student.mahidol.ac.th</v>
      </c>
    </row>
    <row r="225" spans="1:29" ht="27">
      <c r="A225" s="15">
        <v>219</v>
      </c>
      <c r="B225" s="16">
        <f t="shared" si="14"/>
        <v>62</v>
      </c>
      <c r="C225" s="27">
        <f t="shared" si="15"/>
        <v>2022</v>
      </c>
      <c r="D225" s="54"/>
      <c r="E225" s="17">
        <v>6288089</v>
      </c>
      <c r="F225" s="14" t="s">
        <v>117</v>
      </c>
      <c r="G225" s="14" t="s">
        <v>992</v>
      </c>
      <c r="H225" s="18" t="s">
        <v>993</v>
      </c>
      <c r="I225" s="25" t="s">
        <v>124</v>
      </c>
      <c r="J225" s="25">
        <v>5.5</v>
      </c>
      <c r="K225" s="25">
        <v>5.5</v>
      </c>
      <c r="L225" s="25">
        <v>5</v>
      </c>
      <c r="M225" s="25">
        <v>5.5</v>
      </c>
      <c r="N225" s="25">
        <v>5.5</v>
      </c>
      <c r="O225" s="25"/>
      <c r="P225" s="25"/>
      <c r="Q225" s="25"/>
      <c r="R225" s="25"/>
      <c r="S225" s="35">
        <v>43442</v>
      </c>
      <c r="T225" s="51">
        <v>43647</v>
      </c>
      <c r="U225" s="25"/>
      <c r="V225" s="25"/>
      <c r="W225" s="25" t="s">
        <v>994</v>
      </c>
      <c r="X225" s="25" t="s">
        <v>995</v>
      </c>
      <c r="Y225" s="25"/>
      <c r="Z225" s="25"/>
      <c r="AA225" s="25"/>
      <c r="AB225" s="25"/>
      <c r="AC225" s="25" t="str">
        <f>TRIM(StudentScore[[#This Row],[Student Email]])</f>
        <v>introrn.ler@student.mahidol.ac.th</v>
      </c>
    </row>
    <row r="226" spans="1:29" ht="27">
      <c r="A226" s="15">
        <v>220</v>
      </c>
      <c r="B226" s="16">
        <f t="shared" si="14"/>
        <v>62</v>
      </c>
      <c r="C226" s="27">
        <f t="shared" si="15"/>
        <v>2022</v>
      </c>
      <c r="D226" s="54"/>
      <c r="E226" s="17">
        <v>6288090</v>
      </c>
      <c r="F226" s="14" t="s">
        <v>38</v>
      </c>
      <c r="G226" s="14" t="s">
        <v>996</v>
      </c>
      <c r="H226" s="18" t="s">
        <v>997</v>
      </c>
      <c r="I226" s="25" t="s">
        <v>102</v>
      </c>
      <c r="J226" s="25">
        <v>94</v>
      </c>
      <c r="K226" s="25"/>
      <c r="L226" s="25"/>
      <c r="M226" s="25"/>
      <c r="N226" s="25"/>
      <c r="O226" s="25"/>
      <c r="P226" s="25"/>
      <c r="Q226" s="25"/>
      <c r="R226" s="25"/>
      <c r="S226" s="25"/>
      <c r="T226" s="51">
        <v>44531</v>
      </c>
      <c r="U226" s="25"/>
      <c r="V226" s="25"/>
      <c r="W226" s="25" t="s">
        <v>998</v>
      </c>
      <c r="X226" s="25" t="s">
        <v>999</v>
      </c>
      <c r="Y226" s="25"/>
      <c r="Z226" s="25"/>
      <c r="AA226" s="25"/>
      <c r="AB226" s="25"/>
      <c r="AC226" s="25" t="str">
        <f>TRIM(StudentScore[[#This Row],[Student Email]])</f>
        <v>arnon.noo@student.mahidol.ac.th</v>
      </c>
    </row>
    <row r="227" spans="1:29" ht="27">
      <c r="A227" s="15">
        <v>221</v>
      </c>
      <c r="B227" s="16">
        <f t="shared" si="14"/>
        <v>62</v>
      </c>
      <c r="C227" s="27">
        <f t="shared" si="15"/>
        <v>2022</v>
      </c>
      <c r="D227" s="54"/>
      <c r="E227" s="17">
        <v>6288091</v>
      </c>
      <c r="F227" s="14" t="s">
        <v>117</v>
      </c>
      <c r="G227" s="14" t="s">
        <v>1000</v>
      </c>
      <c r="H227" s="18" t="s">
        <v>1001</v>
      </c>
      <c r="I227" s="25" t="s">
        <v>102</v>
      </c>
      <c r="J227" s="25">
        <v>78</v>
      </c>
      <c r="K227" s="25"/>
      <c r="L227" s="25"/>
      <c r="M227" s="25"/>
      <c r="N227" s="25"/>
      <c r="O227" s="25"/>
      <c r="P227" s="25"/>
      <c r="Q227" s="25"/>
      <c r="R227" s="25"/>
      <c r="S227" s="35">
        <v>44892</v>
      </c>
      <c r="T227" s="35">
        <v>44935</v>
      </c>
      <c r="U227" s="25"/>
      <c r="V227" s="25"/>
      <c r="W227" s="25" t="s">
        <v>1002</v>
      </c>
      <c r="X227" s="25" t="s">
        <v>1003</v>
      </c>
      <c r="Y227" s="25"/>
      <c r="Z227" s="25"/>
      <c r="AA227" s="25"/>
      <c r="AB227" s="25"/>
      <c r="AC227" s="25" t="str">
        <f>TRIM(StudentScore[[#This Row],[Student Email]])</f>
        <v>napatsawan.phu@student.mahidol.ac.th</v>
      </c>
    </row>
    <row r="228" spans="1:29" ht="27">
      <c r="A228" s="15">
        <v>222</v>
      </c>
      <c r="B228" s="16">
        <f t="shared" si="14"/>
        <v>62</v>
      </c>
      <c r="C228" s="27">
        <f t="shared" si="15"/>
        <v>2022</v>
      </c>
      <c r="D228" s="54"/>
      <c r="E228" s="17">
        <v>6288092</v>
      </c>
      <c r="F228" s="14" t="s">
        <v>38</v>
      </c>
      <c r="G228" s="14" t="s">
        <v>1004</v>
      </c>
      <c r="H228" s="18" t="s">
        <v>1005</v>
      </c>
      <c r="I228" s="25" t="s">
        <v>102</v>
      </c>
      <c r="J228" s="25">
        <v>89</v>
      </c>
      <c r="K228" s="25"/>
      <c r="L228" s="25"/>
      <c r="M228" s="25"/>
      <c r="N228" s="25"/>
      <c r="O228" s="25"/>
      <c r="P228" s="25"/>
      <c r="Q228" s="25"/>
      <c r="R228" s="25"/>
      <c r="S228" s="25"/>
      <c r="T228" s="51">
        <v>44531</v>
      </c>
      <c r="U228" s="25"/>
      <c r="V228" s="25"/>
      <c r="W228" s="25" t="s">
        <v>1006</v>
      </c>
      <c r="X228" s="25" t="s">
        <v>1007</v>
      </c>
      <c r="Y228" s="25"/>
      <c r="Z228" s="25"/>
      <c r="AA228" s="25"/>
      <c r="AB228" s="25"/>
      <c r="AC228" s="25" t="str">
        <f>TRIM(StudentScore[[#This Row],[Student Email]])</f>
        <v>chancheep.mah@student.mahidol.ac.th</v>
      </c>
    </row>
    <row r="229" spans="1:29" ht="27">
      <c r="A229" s="15">
        <v>223</v>
      </c>
      <c r="B229" s="16">
        <f t="shared" si="14"/>
        <v>62</v>
      </c>
      <c r="C229" s="27">
        <f t="shared" si="15"/>
        <v>2022</v>
      </c>
      <c r="D229" s="54"/>
      <c r="E229" s="17">
        <v>6288093</v>
      </c>
      <c r="F229" s="14" t="s">
        <v>38</v>
      </c>
      <c r="G229" s="14" t="s">
        <v>1008</v>
      </c>
      <c r="H229" s="18" t="s">
        <v>1009</v>
      </c>
      <c r="I229" s="25" t="s">
        <v>124</v>
      </c>
      <c r="J229" s="25">
        <v>6.5</v>
      </c>
      <c r="K229" s="25">
        <v>7</v>
      </c>
      <c r="L229" s="25">
        <v>6.5</v>
      </c>
      <c r="M229" s="25">
        <v>6.5</v>
      </c>
      <c r="N229" s="25">
        <v>6.5</v>
      </c>
      <c r="O229" s="25"/>
      <c r="P229" s="25"/>
      <c r="Q229" s="25"/>
      <c r="R229" s="25"/>
      <c r="S229" s="35">
        <v>44244</v>
      </c>
      <c r="T229" s="51">
        <v>44378</v>
      </c>
      <c r="U229" s="25"/>
      <c r="V229" s="25"/>
      <c r="W229" s="25" t="s">
        <v>1010</v>
      </c>
      <c r="X229" s="25" t="s">
        <v>1011</v>
      </c>
      <c r="Y229" s="25"/>
      <c r="Z229" s="25"/>
      <c r="AA229" s="25"/>
      <c r="AB229" s="25"/>
      <c r="AC229" s="25" t="str">
        <f>TRIM(StudentScore[[#This Row],[Student Email]])</f>
        <v>thanakrit.man@student.mahidol.ac.th</v>
      </c>
    </row>
    <row r="230" spans="1:29" ht="27">
      <c r="A230" s="15">
        <v>224</v>
      </c>
      <c r="B230" s="16">
        <f t="shared" si="14"/>
        <v>62</v>
      </c>
      <c r="C230" s="27">
        <f t="shared" si="15"/>
        <v>2022</v>
      </c>
      <c r="D230" s="54"/>
      <c r="E230" s="17">
        <v>6288094</v>
      </c>
      <c r="F230" s="14" t="s">
        <v>38</v>
      </c>
      <c r="G230" s="14" t="s">
        <v>1012</v>
      </c>
      <c r="H230" s="18" t="s">
        <v>1013</v>
      </c>
      <c r="I230" s="25" t="s">
        <v>124</v>
      </c>
      <c r="J230" s="25">
        <v>6</v>
      </c>
      <c r="K230" s="25">
        <v>6.5</v>
      </c>
      <c r="L230" s="25">
        <v>6</v>
      </c>
      <c r="M230" s="25">
        <v>5.5</v>
      </c>
      <c r="N230" s="25">
        <v>5.5</v>
      </c>
      <c r="O230" s="25"/>
      <c r="P230" s="25"/>
      <c r="Q230" s="25"/>
      <c r="R230" s="25"/>
      <c r="S230" s="26">
        <v>44912</v>
      </c>
      <c r="T230" s="35">
        <v>44943</v>
      </c>
      <c r="U230" s="25"/>
      <c r="V230" s="25"/>
      <c r="W230" s="25" t="s">
        <v>1014</v>
      </c>
      <c r="X230" s="25" t="s">
        <v>1015</v>
      </c>
      <c r="Y230" s="42">
        <v>44943.662372685183</v>
      </c>
      <c r="Z230" s="25" t="s">
        <v>1016</v>
      </c>
      <c r="AA230" s="25"/>
      <c r="AB230" s="25"/>
      <c r="AC230" s="25" t="str">
        <f>TRIM(StudentScore[[#This Row],[Student Email]])</f>
        <v>sahapol.mee@student.mahidol.ac.th</v>
      </c>
    </row>
    <row r="231" spans="1:29" ht="27">
      <c r="A231" s="15">
        <v>225</v>
      </c>
      <c r="B231" s="16">
        <f t="shared" si="14"/>
        <v>62</v>
      </c>
      <c r="C231" s="27">
        <f t="shared" si="15"/>
        <v>2022</v>
      </c>
      <c r="D231" s="54"/>
      <c r="E231" s="17">
        <v>6288095</v>
      </c>
      <c r="F231" s="14" t="s">
        <v>38</v>
      </c>
      <c r="G231" s="14" t="s">
        <v>1017</v>
      </c>
      <c r="H231" s="18" t="s">
        <v>1018</v>
      </c>
      <c r="I231" s="25" t="s">
        <v>48</v>
      </c>
      <c r="J231" s="25">
        <v>640</v>
      </c>
      <c r="K231" s="25">
        <v>390</v>
      </c>
      <c r="L231" s="25">
        <v>250</v>
      </c>
      <c r="M231" s="25"/>
      <c r="N231" s="25"/>
      <c r="O231" s="25"/>
      <c r="P231" s="25"/>
      <c r="Q231" s="25"/>
      <c r="R231" s="25"/>
      <c r="S231" s="26">
        <v>44811</v>
      </c>
      <c r="T231" s="51">
        <v>44805</v>
      </c>
      <c r="U231" s="25"/>
      <c r="V231" s="25" t="s">
        <v>1</v>
      </c>
      <c r="W231" s="25" t="s">
        <v>1019</v>
      </c>
      <c r="X231" s="25" t="s">
        <v>1020</v>
      </c>
      <c r="Y231" s="42">
        <v>44819.679537037038</v>
      </c>
      <c r="Z231" s="25" t="s">
        <v>1021</v>
      </c>
      <c r="AA231" s="25"/>
      <c r="AB231" s="25"/>
      <c r="AC231" s="25" t="str">
        <f>TRIM(StudentScore[[#This Row],[Student Email]])</f>
        <v>phuwanat.mee@student.mahidol.ac.th</v>
      </c>
    </row>
    <row r="232" spans="1:29" ht="27">
      <c r="A232" s="15">
        <v>226</v>
      </c>
      <c r="B232" s="16">
        <f t="shared" si="14"/>
        <v>62</v>
      </c>
      <c r="C232" s="27">
        <f t="shared" si="15"/>
        <v>2022</v>
      </c>
      <c r="D232" s="54"/>
      <c r="E232" s="17">
        <v>6288096</v>
      </c>
      <c r="F232" s="14" t="s">
        <v>38</v>
      </c>
      <c r="G232" s="14" t="s">
        <v>1022</v>
      </c>
      <c r="H232" s="18" t="s">
        <v>1023</v>
      </c>
      <c r="I232" s="25" t="s">
        <v>48</v>
      </c>
      <c r="J232" s="25">
        <v>815</v>
      </c>
      <c r="K232" s="25">
        <v>450</v>
      </c>
      <c r="L232" s="25">
        <v>365</v>
      </c>
      <c r="M232" s="25"/>
      <c r="N232" s="25"/>
      <c r="O232" s="25"/>
      <c r="P232" s="25"/>
      <c r="Q232" s="25"/>
      <c r="R232" s="25"/>
      <c r="S232" s="26">
        <v>44776</v>
      </c>
      <c r="T232" s="51">
        <v>44805</v>
      </c>
      <c r="U232" s="25"/>
      <c r="V232" s="25" t="s">
        <v>1</v>
      </c>
      <c r="W232" s="25" t="s">
        <v>1024</v>
      </c>
      <c r="X232" s="25" t="s">
        <v>1025</v>
      </c>
      <c r="Y232" s="42">
        <v>44810.672314814816</v>
      </c>
      <c r="Z232" s="25" t="s">
        <v>1026</v>
      </c>
      <c r="AA232" s="25"/>
      <c r="AB232" s="25"/>
      <c r="AC232" s="25" t="str">
        <f>TRIM(StudentScore[[#This Row],[Student Email]])</f>
        <v>phanthat.osa@student.mahidol.ac.th</v>
      </c>
    </row>
    <row r="233" spans="1:29" ht="27">
      <c r="A233" s="15">
        <v>227</v>
      </c>
      <c r="B233" s="16">
        <f t="shared" si="14"/>
        <v>62</v>
      </c>
      <c r="C233" s="27">
        <f t="shared" si="15"/>
        <v>2022</v>
      </c>
      <c r="D233" s="54"/>
      <c r="E233" s="17">
        <v>6288097</v>
      </c>
      <c r="F233" s="14" t="s">
        <v>38</v>
      </c>
      <c r="G233" s="14" t="s">
        <v>1027</v>
      </c>
      <c r="H233" s="18" t="s">
        <v>1028</v>
      </c>
      <c r="I233" s="25" t="s">
        <v>53</v>
      </c>
      <c r="J233" s="25">
        <v>106</v>
      </c>
      <c r="K233" s="25">
        <v>57</v>
      </c>
      <c r="L233" s="25">
        <v>49</v>
      </c>
      <c r="M233" s="25"/>
      <c r="N233" s="25"/>
      <c r="O233" s="25"/>
      <c r="P233" s="25"/>
      <c r="Q233" s="25"/>
      <c r="R233" s="25"/>
      <c r="S233" s="26">
        <v>44643</v>
      </c>
      <c r="T233" s="51">
        <v>44682</v>
      </c>
      <c r="U233" s="25"/>
      <c r="V233" s="25"/>
      <c r="W233" s="25" t="s">
        <v>1029</v>
      </c>
      <c r="X233" s="25" t="s">
        <v>1030</v>
      </c>
      <c r="Y233" s="42">
        <v>44692.689328703702</v>
      </c>
      <c r="Z233" s="25" t="s">
        <v>1031</v>
      </c>
      <c r="AA233" s="25"/>
      <c r="AB233" s="25"/>
      <c r="AC233" s="25" t="str">
        <f>TRIM(StudentScore[[#This Row],[Student Email]])</f>
        <v>panuwat.nam@student.mahidol.ac.th</v>
      </c>
    </row>
    <row r="234" spans="1:29" ht="27">
      <c r="A234" s="15">
        <v>228</v>
      </c>
      <c r="B234" s="16">
        <f t="shared" si="14"/>
        <v>62</v>
      </c>
      <c r="C234" s="27">
        <f t="shared" si="15"/>
        <v>2022</v>
      </c>
      <c r="D234" s="54"/>
      <c r="E234" s="17">
        <v>6288098</v>
      </c>
      <c r="F234" s="14" t="s">
        <v>38</v>
      </c>
      <c r="G234" s="14" t="s">
        <v>1032</v>
      </c>
      <c r="H234" s="18" t="s">
        <v>1033</v>
      </c>
      <c r="I234" s="25" t="s">
        <v>48</v>
      </c>
      <c r="J234" s="25">
        <v>735</v>
      </c>
      <c r="K234" s="25">
        <v>400</v>
      </c>
      <c r="L234" s="25">
        <v>335</v>
      </c>
      <c r="M234" s="25"/>
      <c r="N234" s="25"/>
      <c r="O234" s="25"/>
      <c r="P234" s="25"/>
      <c r="Q234" s="25"/>
      <c r="R234" s="25"/>
      <c r="S234" s="26">
        <v>45028</v>
      </c>
      <c r="T234" s="35">
        <v>45042</v>
      </c>
      <c r="U234" s="25"/>
      <c r="V234" s="25" t="s">
        <v>952</v>
      </c>
      <c r="W234" s="25" t="s">
        <v>1034</v>
      </c>
      <c r="X234" s="25" t="s">
        <v>1035</v>
      </c>
      <c r="Y234" s="42">
        <v>45042.468194444446</v>
      </c>
      <c r="Z234" s="25" t="s">
        <v>1036</v>
      </c>
      <c r="AA234" s="25"/>
      <c r="AB234" s="25"/>
      <c r="AC234" s="25" t="str">
        <f>TRIM(StudentScore[[#This Row],[Student Email]])</f>
        <v>nawadol.kuc@student.mahidol.ac.th</v>
      </c>
    </row>
    <row r="235" spans="1:29" ht="27">
      <c r="A235" s="15">
        <v>229</v>
      </c>
      <c r="B235" s="16">
        <f t="shared" si="14"/>
        <v>62</v>
      </c>
      <c r="C235" s="27">
        <f t="shared" si="15"/>
        <v>2022</v>
      </c>
      <c r="D235" s="54"/>
      <c r="E235" s="17">
        <v>6288099</v>
      </c>
      <c r="F235" s="14" t="s">
        <v>38</v>
      </c>
      <c r="G235" s="14" t="s">
        <v>1037</v>
      </c>
      <c r="H235" s="18" t="s">
        <v>1038</v>
      </c>
      <c r="I235" s="25" t="s">
        <v>102</v>
      </c>
      <c r="J235" s="25">
        <v>91</v>
      </c>
      <c r="K235" s="25"/>
      <c r="L235" s="25"/>
      <c r="M235" s="25"/>
      <c r="N235" s="25"/>
      <c r="O235" s="25"/>
      <c r="P235" s="25"/>
      <c r="Q235" s="25"/>
      <c r="R235" s="25"/>
      <c r="S235" s="25"/>
      <c r="T235" s="51">
        <v>44531</v>
      </c>
      <c r="U235" s="25"/>
      <c r="V235" s="25"/>
      <c r="W235" s="25" t="s">
        <v>1039</v>
      </c>
      <c r="X235" s="25" t="s">
        <v>1040</v>
      </c>
      <c r="Y235" s="25"/>
      <c r="Z235" s="25"/>
      <c r="AA235" s="25"/>
      <c r="AB235" s="25"/>
      <c r="AC235" s="25" t="str">
        <f>TRIM(StudentScore[[#This Row],[Student Email]])</f>
        <v>krittitee.nil@student.mahidol.ac.th</v>
      </c>
    </row>
    <row r="236" spans="1:29" ht="27">
      <c r="A236" s="15">
        <v>230</v>
      </c>
      <c r="B236" s="16">
        <f t="shared" si="14"/>
        <v>62</v>
      </c>
      <c r="C236" s="27">
        <f t="shared" si="15"/>
        <v>2022</v>
      </c>
      <c r="D236" s="54"/>
      <c r="E236" s="17">
        <v>6288100</v>
      </c>
      <c r="F236" s="14" t="s">
        <v>38</v>
      </c>
      <c r="G236" s="14" t="s">
        <v>1041</v>
      </c>
      <c r="H236" s="18" t="s">
        <v>1042</v>
      </c>
      <c r="I236" s="25" t="s">
        <v>102</v>
      </c>
      <c r="J236" s="25">
        <v>77</v>
      </c>
      <c r="K236" s="25"/>
      <c r="L236" s="25"/>
      <c r="M236" s="25"/>
      <c r="N236" s="25"/>
      <c r="O236" s="25"/>
      <c r="P236" s="25"/>
      <c r="Q236" s="25"/>
      <c r="R236" s="25"/>
      <c r="S236" s="25"/>
      <c r="T236" s="51">
        <v>44531</v>
      </c>
      <c r="U236" s="25"/>
      <c r="V236" s="25"/>
      <c r="W236" s="25" t="s">
        <v>1043</v>
      </c>
      <c r="X236" s="25" t="s">
        <v>1044</v>
      </c>
      <c r="Y236" s="25"/>
      <c r="Z236" s="25"/>
      <c r="AA236" s="25"/>
      <c r="AB236" s="25"/>
      <c r="AC236" s="25" t="str">
        <f>TRIM(StudentScore[[#This Row],[Student Email]])</f>
        <v>soranun.pai@student.mahidol.ac.th</v>
      </c>
    </row>
    <row r="237" spans="1:29" ht="27">
      <c r="A237" s="15">
        <v>231</v>
      </c>
      <c r="B237" s="16">
        <f t="shared" si="14"/>
        <v>62</v>
      </c>
      <c r="C237" s="27">
        <f t="shared" si="15"/>
        <v>2022</v>
      </c>
      <c r="D237" s="54"/>
      <c r="E237" s="17">
        <v>6288101</v>
      </c>
      <c r="F237" s="14" t="s">
        <v>117</v>
      </c>
      <c r="G237" s="14" t="s">
        <v>1045</v>
      </c>
      <c r="H237" s="18" t="s">
        <v>1046</v>
      </c>
      <c r="I237" s="25" t="s">
        <v>102</v>
      </c>
      <c r="J237" s="25">
        <v>80</v>
      </c>
      <c r="K237" s="25"/>
      <c r="L237" s="25"/>
      <c r="M237" s="25"/>
      <c r="N237" s="25"/>
      <c r="O237" s="25"/>
      <c r="P237" s="25"/>
      <c r="Q237" s="25"/>
      <c r="R237" s="25"/>
      <c r="S237" s="25"/>
      <c r="T237" s="51">
        <v>44531</v>
      </c>
      <c r="U237" s="25"/>
      <c r="V237" s="25"/>
      <c r="W237" s="25" t="s">
        <v>1047</v>
      </c>
      <c r="X237" s="25" t="s">
        <v>1048</v>
      </c>
      <c r="Y237" s="25"/>
      <c r="Z237" s="25"/>
      <c r="AA237" s="25"/>
      <c r="AB237" s="25"/>
      <c r="AC237" s="25" t="str">
        <f>TRIM(StudentScore[[#This Row],[Student Email]])</f>
        <v>atitiya.pak@student.mahidol.ac.th</v>
      </c>
    </row>
    <row r="238" spans="1:29" ht="27">
      <c r="A238" s="15">
        <v>232</v>
      </c>
      <c r="B238" s="16">
        <f t="shared" si="14"/>
        <v>62</v>
      </c>
      <c r="C238" s="27">
        <f t="shared" si="15"/>
        <v>2022</v>
      </c>
      <c r="D238" s="54"/>
      <c r="E238" s="17">
        <v>6288102</v>
      </c>
      <c r="F238" s="14" t="s">
        <v>38</v>
      </c>
      <c r="G238" s="14" t="s">
        <v>1049</v>
      </c>
      <c r="H238" s="18" t="s">
        <v>1050</v>
      </c>
      <c r="I238" s="25" t="s">
        <v>102</v>
      </c>
      <c r="J238" s="25">
        <v>85</v>
      </c>
      <c r="K238" s="25"/>
      <c r="L238" s="25"/>
      <c r="M238" s="25"/>
      <c r="N238" s="25"/>
      <c r="O238" s="25"/>
      <c r="P238" s="25"/>
      <c r="Q238" s="25"/>
      <c r="R238" s="25"/>
      <c r="S238" s="25"/>
      <c r="T238" s="51">
        <v>44348</v>
      </c>
      <c r="U238" s="25"/>
      <c r="V238" s="25"/>
      <c r="W238" s="25" t="s">
        <v>1051</v>
      </c>
      <c r="X238" s="25" t="s">
        <v>1052</v>
      </c>
      <c r="Y238" s="25"/>
      <c r="Z238" s="25"/>
      <c r="AA238" s="25"/>
      <c r="AB238" s="25"/>
      <c r="AC238" s="25" t="str">
        <f>TRIM(StudentScore[[#This Row],[Student Email]])</f>
        <v>krissanapong.pal@student.mahidol.ac.th</v>
      </c>
    </row>
    <row r="239" spans="1:29" ht="27">
      <c r="A239" s="15">
        <v>233</v>
      </c>
      <c r="B239" s="16">
        <f t="shared" si="14"/>
        <v>62</v>
      </c>
      <c r="C239" s="27">
        <f t="shared" si="15"/>
        <v>2022</v>
      </c>
      <c r="D239" s="54"/>
      <c r="E239" s="17">
        <v>6288103</v>
      </c>
      <c r="F239" s="14" t="s">
        <v>38</v>
      </c>
      <c r="G239" s="14" t="s">
        <v>1053</v>
      </c>
      <c r="H239" s="18" t="s">
        <v>1054</v>
      </c>
      <c r="I239" s="25" t="s">
        <v>102</v>
      </c>
      <c r="J239" s="25">
        <v>94</v>
      </c>
      <c r="K239" s="25"/>
      <c r="L239" s="25"/>
      <c r="M239" s="25"/>
      <c r="N239" s="25"/>
      <c r="O239" s="25"/>
      <c r="P239" s="25"/>
      <c r="Q239" s="25"/>
      <c r="R239" s="25"/>
      <c r="S239" s="25"/>
      <c r="T239" s="51">
        <v>44531</v>
      </c>
      <c r="U239" s="25"/>
      <c r="V239" s="25"/>
      <c r="W239" s="25" t="s">
        <v>1055</v>
      </c>
      <c r="X239" s="25" t="s">
        <v>1056</v>
      </c>
      <c r="Y239" s="25"/>
      <c r="Z239" s="25"/>
      <c r="AA239" s="25"/>
      <c r="AB239" s="25"/>
      <c r="AC239" s="25" t="str">
        <f>TRIM(StudentScore[[#This Row],[Student Email]])</f>
        <v>nopparat.pen@student.mahidol.ac.th</v>
      </c>
    </row>
    <row r="240" spans="1:29" ht="27">
      <c r="A240" s="15">
        <v>234</v>
      </c>
      <c r="B240" s="16">
        <f t="shared" si="14"/>
        <v>62</v>
      </c>
      <c r="C240" s="27">
        <f t="shared" si="15"/>
        <v>2022</v>
      </c>
      <c r="D240" s="54"/>
      <c r="E240" s="17">
        <v>6288104</v>
      </c>
      <c r="F240" s="14" t="s">
        <v>38</v>
      </c>
      <c r="G240" s="14" t="s">
        <v>1057</v>
      </c>
      <c r="H240" s="18" t="s">
        <v>1058</v>
      </c>
      <c r="I240" s="25" t="s">
        <v>53</v>
      </c>
      <c r="J240" s="25">
        <v>102</v>
      </c>
      <c r="K240" s="25">
        <v>56</v>
      </c>
      <c r="L240" s="25">
        <v>46</v>
      </c>
      <c r="M240" s="25"/>
      <c r="N240" s="25"/>
      <c r="O240" s="25"/>
      <c r="P240" s="25"/>
      <c r="Q240" s="25"/>
      <c r="R240" s="25"/>
      <c r="S240" s="26">
        <v>44643</v>
      </c>
      <c r="T240" s="35">
        <v>44670</v>
      </c>
      <c r="U240" s="25"/>
      <c r="V240" s="25"/>
      <c r="W240" s="25" t="s">
        <v>1059</v>
      </c>
      <c r="X240" s="25" t="s">
        <v>1060</v>
      </c>
      <c r="Y240" s="42">
        <v>44670.446319444447</v>
      </c>
      <c r="Z240" s="25" t="s">
        <v>1061</v>
      </c>
      <c r="AA240" s="25"/>
      <c r="AB240" s="25"/>
      <c r="AC240" s="25" t="str">
        <f>TRIM(StudentScore[[#This Row],[Student Email]])</f>
        <v>waipop.per@student.mahidol.ac.th</v>
      </c>
    </row>
    <row r="241" spans="1:29" ht="27">
      <c r="A241" s="15">
        <v>235</v>
      </c>
      <c r="B241" s="16">
        <f t="shared" si="14"/>
        <v>62</v>
      </c>
      <c r="C241" s="27">
        <f t="shared" si="15"/>
        <v>2022</v>
      </c>
      <c r="D241" s="54"/>
      <c r="E241" s="17">
        <v>6288105</v>
      </c>
      <c r="F241" s="14" t="s">
        <v>117</v>
      </c>
      <c r="G241" s="14" t="s">
        <v>1062</v>
      </c>
      <c r="H241" s="18" t="s">
        <v>1063</v>
      </c>
      <c r="I241" s="25" t="s">
        <v>102</v>
      </c>
      <c r="J241" s="25">
        <v>86</v>
      </c>
      <c r="K241" s="25"/>
      <c r="L241" s="25"/>
      <c r="M241" s="25"/>
      <c r="N241" s="25"/>
      <c r="O241" s="25"/>
      <c r="P241" s="25"/>
      <c r="Q241" s="25"/>
      <c r="R241" s="25"/>
      <c r="S241" s="35">
        <v>45021</v>
      </c>
      <c r="T241" s="35">
        <v>45034</v>
      </c>
      <c r="U241" s="25"/>
      <c r="V241" s="25"/>
      <c r="W241" s="25" t="s">
        <v>1064</v>
      </c>
      <c r="X241" s="25" t="s">
        <v>1065</v>
      </c>
      <c r="Y241" s="25"/>
      <c r="Z241" s="25"/>
      <c r="AA241" s="25"/>
      <c r="AB241" s="25"/>
      <c r="AC241" s="25" t="str">
        <f>TRIM(StudentScore[[#This Row],[Student Email]])</f>
        <v>sirawipa.pha@student.mahidol.ac.th</v>
      </c>
    </row>
    <row r="242" spans="1:29" ht="27">
      <c r="A242" s="15">
        <v>236</v>
      </c>
      <c r="B242" s="16">
        <f t="shared" si="14"/>
        <v>62</v>
      </c>
      <c r="C242" s="27">
        <f t="shared" si="15"/>
        <v>2022</v>
      </c>
      <c r="D242" s="54"/>
      <c r="E242" s="17">
        <v>6288106</v>
      </c>
      <c r="F242" s="14" t="s">
        <v>38</v>
      </c>
      <c r="G242" s="14" t="s">
        <v>1066</v>
      </c>
      <c r="H242" s="18" t="s">
        <v>1067</v>
      </c>
      <c r="I242" s="25" t="s">
        <v>48</v>
      </c>
      <c r="J242" s="25">
        <v>755</v>
      </c>
      <c r="K242" s="25">
        <v>440</v>
      </c>
      <c r="L242" s="25">
        <v>315</v>
      </c>
      <c r="M242" s="25"/>
      <c r="N242" s="25"/>
      <c r="O242" s="25"/>
      <c r="P242" s="25"/>
      <c r="Q242" s="25"/>
      <c r="R242" s="25"/>
      <c r="S242" s="35">
        <v>45028</v>
      </c>
      <c r="T242" s="35">
        <v>45041</v>
      </c>
      <c r="U242" s="25"/>
      <c r="V242" s="25"/>
      <c r="W242" s="25" t="s">
        <v>1068</v>
      </c>
      <c r="X242" s="25" t="s">
        <v>1069</v>
      </c>
      <c r="Y242" s="25"/>
      <c r="Z242" s="25"/>
      <c r="AA242" s="25"/>
      <c r="AB242" s="25"/>
      <c r="AC242" s="25" t="str">
        <f>TRIM(StudentScore[[#This Row],[Student Email]])</f>
        <v>ray.pho@student.mahidol.ac.th</v>
      </c>
    </row>
    <row r="243" spans="1:29" ht="27">
      <c r="A243" s="15">
        <v>237</v>
      </c>
      <c r="B243" s="16">
        <f t="shared" si="14"/>
        <v>62</v>
      </c>
      <c r="C243" s="27">
        <f t="shared" si="15"/>
        <v>2022</v>
      </c>
      <c r="D243" s="54"/>
      <c r="E243" s="17">
        <v>6288107</v>
      </c>
      <c r="F243" s="14" t="s">
        <v>38</v>
      </c>
      <c r="G243" s="14" t="s">
        <v>838</v>
      </c>
      <c r="H243" s="18" t="s">
        <v>1070</v>
      </c>
      <c r="I243" s="25" t="s">
        <v>102</v>
      </c>
      <c r="J243" s="25">
        <v>85</v>
      </c>
      <c r="K243" s="25"/>
      <c r="L243" s="25"/>
      <c r="M243" s="25"/>
      <c r="N243" s="25"/>
      <c r="O243" s="25"/>
      <c r="P243" s="25"/>
      <c r="Q243" s="25"/>
      <c r="R243" s="25"/>
      <c r="S243" s="25"/>
      <c r="T243" s="51">
        <v>44531</v>
      </c>
      <c r="U243" s="25"/>
      <c r="V243" s="25"/>
      <c r="W243" s="25" t="s">
        <v>1071</v>
      </c>
      <c r="X243" s="25" t="s">
        <v>1072</v>
      </c>
      <c r="Y243" s="25"/>
      <c r="Z243" s="25"/>
      <c r="AA243" s="25"/>
      <c r="AB243" s="25"/>
      <c r="AC243" s="25" t="str">
        <f>TRIM(StudentScore[[#This Row],[Student Email]])</f>
        <v>pongsakorn.pib@student.mahidol.ac.th</v>
      </c>
    </row>
    <row r="244" spans="1:29" ht="27">
      <c r="A244" s="15">
        <v>238</v>
      </c>
      <c r="B244" s="16">
        <f t="shared" si="14"/>
        <v>62</v>
      </c>
      <c r="C244" s="27">
        <f t="shared" si="15"/>
        <v>2022</v>
      </c>
      <c r="D244" s="54"/>
      <c r="E244" s="17">
        <v>6288108</v>
      </c>
      <c r="F244" s="14" t="s">
        <v>117</v>
      </c>
      <c r="G244" s="14" t="s">
        <v>1073</v>
      </c>
      <c r="H244" s="18" t="s">
        <v>1074</v>
      </c>
      <c r="I244" s="25" t="s">
        <v>214</v>
      </c>
      <c r="J244" s="25">
        <v>90</v>
      </c>
      <c r="K244" s="25"/>
      <c r="L244" s="25"/>
      <c r="M244" s="25"/>
      <c r="N244" s="25"/>
      <c r="O244" s="25">
        <v>90</v>
      </c>
      <c r="P244" s="25">
        <v>80</v>
      </c>
      <c r="Q244" s="25">
        <v>100</v>
      </c>
      <c r="R244" s="25">
        <v>60</v>
      </c>
      <c r="S244" s="26">
        <v>45091</v>
      </c>
      <c r="T244" s="35">
        <v>45096</v>
      </c>
      <c r="U244" s="25"/>
      <c r="V244" s="25"/>
      <c r="W244" s="25" t="s">
        <v>1075</v>
      </c>
      <c r="X244" s="25" t="s">
        <v>1076</v>
      </c>
      <c r="Y244" s="42">
        <v>45096.71125</v>
      </c>
      <c r="Z244" s="25" t="s">
        <v>1077</v>
      </c>
      <c r="AA244" s="25"/>
      <c r="AB244" s="25"/>
      <c r="AC244" s="25" t="str">
        <f>TRIM(StudentScore[[#This Row],[Student Email]])</f>
        <v>nattaprapa.pin@student.mahidol.ac.th</v>
      </c>
    </row>
    <row r="245" spans="1:29" ht="27">
      <c r="A245" s="15">
        <v>239</v>
      </c>
      <c r="B245" s="16">
        <f t="shared" si="14"/>
        <v>62</v>
      </c>
      <c r="C245" s="27">
        <f t="shared" si="15"/>
        <v>2022</v>
      </c>
      <c r="D245" s="54"/>
      <c r="E245" s="17">
        <v>6288109</v>
      </c>
      <c r="F245" s="14" t="s">
        <v>117</v>
      </c>
      <c r="G245" s="14" t="s">
        <v>1078</v>
      </c>
      <c r="H245" s="18" t="s">
        <v>1079</v>
      </c>
      <c r="I245" s="25" t="s">
        <v>48</v>
      </c>
      <c r="J245" s="25">
        <v>710</v>
      </c>
      <c r="K245" s="25">
        <v>395</v>
      </c>
      <c r="L245" s="25">
        <v>315</v>
      </c>
      <c r="M245" s="25"/>
      <c r="N245" s="25"/>
      <c r="O245" s="25"/>
      <c r="P245" s="25"/>
      <c r="Q245" s="25"/>
      <c r="R245" s="25"/>
      <c r="S245" s="35">
        <v>44749</v>
      </c>
      <c r="T245" s="51">
        <v>44774</v>
      </c>
      <c r="U245" s="25"/>
      <c r="V245" s="25"/>
      <c r="W245" s="25" t="s">
        <v>1080</v>
      </c>
      <c r="X245" s="25" t="s">
        <v>1081</v>
      </c>
      <c r="Y245" s="25"/>
      <c r="Z245" s="25"/>
      <c r="AA245" s="25"/>
      <c r="AB245" s="25"/>
      <c r="AC245" s="25" t="str">
        <f>TRIM(StudentScore[[#This Row],[Student Email]])</f>
        <v>pattamaporn.pon@student.mahidol.ac.th</v>
      </c>
    </row>
    <row r="246" spans="1:29" ht="27">
      <c r="A246" s="15">
        <v>240</v>
      </c>
      <c r="B246" s="16">
        <f t="shared" si="14"/>
        <v>62</v>
      </c>
      <c r="C246" s="27">
        <f t="shared" si="15"/>
        <v>2022</v>
      </c>
      <c r="D246" s="54"/>
      <c r="E246" s="17">
        <v>6288110</v>
      </c>
      <c r="F246" s="14" t="s">
        <v>117</v>
      </c>
      <c r="G246" s="14" t="s">
        <v>1082</v>
      </c>
      <c r="H246" s="18" t="s">
        <v>1083</v>
      </c>
      <c r="I246" s="25" t="s">
        <v>48</v>
      </c>
      <c r="J246" s="25">
        <v>685</v>
      </c>
      <c r="K246" s="25">
        <v>375</v>
      </c>
      <c r="L246" s="25">
        <v>310</v>
      </c>
      <c r="M246" s="25"/>
      <c r="N246" s="25"/>
      <c r="O246" s="25"/>
      <c r="P246" s="25"/>
      <c r="Q246" s="25"/>
      <c r="R246" s="25"/>
      <c r="S246" s="35">
        <v>43726</v>
      </c>
      <c r="T246" s="51">
        <v>43770</v>
      </c>
      <c r="U246" s="25"/>
      <c r="V246" s="25"/>
      <c r="W246" s="25" t="s">
        <v>1084</v>
      </c>
      <c r="X246" s="25" t="s">
        <v>1085</v>
      </c>
      <c r="Y246" s="25"/>
      <c r="Z246" s="25"/>
      <c r="AA246" s="25"/>
      <c r="AB246" s="25"/>
      <c r="AC246" s="25" t="str">
        <f>TRIM(StudentScore[[#This Row],[Student Email]])</f>
        <v>somluckana.piy@student.mahidol.ac.th</v>
      </c>
    </row>
    <row r="247" spans="1:29" ht="27">
      <c r="A247" s="15">
        <v>241</v>
      </c>
      <c r="B247" s="16">
        <f t="shared" si="14"/>
        <v>62</v>
      </c>
      <c r="C247" s="27">
        <f t="shared" si="15"/>
        <v>2022</v>
      </c>
      <c r="D247" s="54"/>
      <c r="E247" s="17">
        <v>6288111</v>
      </c>
      <c r="F247" s="14" t="s">
        <v>38</v>
      </c>
      <c r="G247" s="14" t="s">
        <v>1086</v>
      </c>
      <c r="H247" s="18" t="s">
        <v>1087</v>
      </c>
      <c r="I247" s="25" t="s">
        <v>102</v>
      </c>
      <c r="J247" s="25">
        <v>78</v>
      </c>
      <c r="K247" s="25"/>
      <c r="L247" s="25"/>
      <c r="M247" s="25"/>
      <c r="N247" s="25"/>
      <c r="O247" s="25"/>
      <c r="P247" s="25"/>
      <c r="Q247" s="25"/>
      <c r="R247" s="25"/>
      <c r="S247" s="25"/>
      <c r="T247" s="51">
        <v>44531</v>
      </c>
      <c r="U247" s="25"/>
      <c r="V247" s="25"/>
      <c r="W247" s="25" t="s">
        <v>1088</v>
      </c>
      <c r="X247" s="25" t="s">
        <v>1089</v>
      </c>
      <c r="Y247" s="25"/>
      <c r="Z247" s="25"/>
      <c r="AA247" s="25"/>
      <c r="AB247" s="25"/>
      <c r="AC247" s="25" t="str">
        <f>TRIM(StudentScore[[#This Row],[Student Email]])</f>
        <v>prom.pro@student.mahidol.ac.th</v>
      </c>
    </row>
    <row r="248" spans="1:29" ht="27">
      <c r="A248" s="15">
        <v>242</v>
      </c>
      <c r="B248" s="16">
        <f t="shared" si="14"/>
        <v>62</v>
      </c>
      <c r="C248" s="27">
        <f t="shared" si="15"/>
        <v>2022</v>
      </c>
      <c r="D248" s="54"/>
      <c r="E248" s="17">
        <v>6288112</v>
      </c>
      <c r="F248" s="14" t="s">
        <v>38</v>
      </c>
      <c r="G248" s="14" t="s">
        <v>1090</v>
      </c>
      <c r="H248" s="18" t="s">
        <v>1091</v>
      </c>
      <c r="I248" s="25" t="s">
        <v>64</v>
      </c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 t="s">
        <v>1092</v>
      </c>
      <c r="X248" s="25" t="s">
        <v>1093</v>
      </c>
      <c r="Y248" s="25"/>
      <c r="Z248" s="25"/>
      <c r="AA248" s="25"/>
      <c r="AB248" s="25"/>
      <c r="AC248" s="25" t="str">
        <f>TRIM(StudentScore[[#This Row],[Student Email]])</f>
        <v>kanorkpon.pon@student.mahidol.ac.th</v>
      </c>
    </row>
    <row r="249" spans="1:29" ht="27">
      <c r="A249" s="15">
        <v>243</v>
      </c>
      <c r="B249" s="16">
        <f t="shared" si="14"/>
        <v>62</v>
      </c>
      <c r="C249" s="27">
        <f t="shared" si="15"/>
        <v>2022</v>
      </c>
      <c r="D249" s="54"/>
      <c r="E249" s="17">
        <v>6288113</v>
      </c>
      <c r="F249" s="14" t="s">
        <v>38</v>
      </c>
      <c r="G249" s="14" t="s">
        <v>1094</v>
      </c>
      <c r="H249" s="18" t="s">
        <v>1095</v>
      </c>
      <c r="I249" s="25" t="s">
        <v>244</v>
      </c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 t="s">
        <v>1096</v>
      </c>
      <c r="X249" s="25" t="s">
        <v>1097</v>
      </c>
      <c r="Y249" s="25"/>
      <c r="Z249" s="25"/>
      <c r="AA249" s="25"/>
      <c r="AB249" s="25"/>
      <c r="AC249" s="25" t="str">
        <f>TRIM(StudentScore[[#This Row],[Student Email]])</f>
        <v>teetus.pra@student.mahidol.ac.th</v>
      </c>
    </row>
    <row r="250" spans="1:29" ht="27">
      <c r="A250" s="15">
        <v>244</v>
      </c>
      <c r="B250" s="16">
        <f t="shared" si="14"/>
        <v>62</v>
      </c>
      <c r="C250" s="27">
        <f t="shared" si="15"/>
        <v>2022</v>
      </c>
      <c r="D250" s="54"/>
      <c r="E250" s="17">
        <v>6288115</v>
      </c>
      <c r="F250" s="14" t="s">
        <v>117</v>
      </c>
      <c r="G250" s="14" t="s">
        <v>1098</v>
      </c>
      <c r="H250" s="18" t="s">
        <v>1099</v>
      </c>
      <c r="I250" s="25" t="s">
        <v>41</v>
      </c>
      <c r="J250" s="25">
        <v>527</v>
      </c>
      <c r="K250" s="25">
        <v>52</v>
      </c>
      <c r="L250" s="25">
        <v>53</v>
      </c>
      <c r="M250" s="25">
        <v>53</v>
      </c>
      <c r="N250" s="25"/>
      <c r="O250" s="25"/>
      <c r="P250" s="25"/>
      <c r="Q250" s="25"/>
      <c r="R250" s="25"/>
      <c r="S250" s="35">
        <v>44754</v>
      </c>
      <c r="T250" s="51">
        <v>44774</v>
      </c>
      <c r="U250" s="25"/>
      <c r="V250" s="25"/>
      <c r="W250" s="25" t="s">
        <v>1100</v>
      </c>
      <c r="X250" s="25" t="s">
        <v>1101</v>
      </c>
      <c r="Y250" s="25"/>
      <c r="Z250" s="25"/>
      <c r="AA250" s="25"/>
      <c r="AB250" s="25"/>
      <c r="AC250" s="25" t="str">
        <f>TRIM(StudentScore[[#This Row],[Student Email]])</f>
        <v>rungrawee.akk@student.mahidol.ac.th</v>
      </c>
    </row>
    <row r="251" spans="1:29" ht="27">
      <c r="A251" s="15">
        <v>245</v>
      </c>
      <c r="B251" s="16">
        <f t="shared" si="14"/>
        <v>62</v>
      </c>
      <c r="C251" s="27">
        <f t="shared" si="15"/>
        <v>2022</v>
      </c>
      <c r="D251" s="54"/>
      <c r="E251" s="17">
        <v>6288116</v>
      </c>
      <c r="F251" s="14" t="s">
        <v>38</v>
      </c>
      <c r="G251" s="14" t="s">
        <v>1102</v>
      </c>
      <c r="H251" s="18" t="s">
        <v>1103</v>
      </c>
      <c r="I251" s="25" t="s">
        <v>102</v>
      </c>
      <c r="J251" s="25">
        <v>81</v>
      </c>
      <c r="K251" s="25"/>
      <c r="L251" s="25"/>
      <c r="M251" s="25"/>
      <c r="N251" s="25"/>
      <c r="O251" s="25"/>
      <c r="P251" s="25"/>
      <c r="Q251" s="25"/>
      <c r="R251" s="25"/>
      <c r="S251" s="25"/>
      <c r="T251" s="51">
        <v>44682</v>
      </c>
      <c r="U251" s="25"/>
      <c r="V251" s="25"/>
      <c r="W251" s="25" t="s">
        <v>1104</v>
      </c>
      <c r="X251" s="25" t="s">
        <v>1105</v>
      </c>
      <c r="Y251" s="25"/>
      <c r="Z251" s="25"/>
      <c r="AA251" s="25"/>
      <c r="AB251" s="25"/>
      <c r="AC251" s="25" t="str">
        <f>TRIM(StudentScore[[#This Row],[Student Email]])</f>
        <v>natthawat.ric@student.mahidol.ac.th</v>
      </c>
    </row>
    <row r="252" spans="1:29" ht="27">
      <c r="A252" s="15">
        <v>246</v>
      </c>
      <c r="B252" s="16">
        <f t="shared" si="14"/>
        <v>62</v>
      </c>
      <c r="C252" s="27">
        <f t="shared" si="15"/>
        <v>2022</v>
      </c>
      <c r="D252" s="54"/>
      <c r="E252" s="17">
        <v>6288117</v>
      </c>
      <c r="F252" s="14" t="s">
        <v>38</v>
      </c>
      <c r="G252" s="14" t="s">
        <v>1106</v>
      </c>
      <c r="H252" s="18" t="s">
        <v>1107</v>
      </c>
      <c r="I252" s="25" t="s">
        <v>102</v>
      </c>
      <c r="J252" s="25">
        <v>79</v>
      </c>
      <c r="K252" s="25"/>
      <c r="L252" s="25"/>
      <c r="M252" s="25"/>
      <c r="N252" s="25"/>
      <c r="O252" s="25"/>
      <c r="P252" s="25"/>
      <c r="Q252" s="25"/>
      <c r="R252" s="25"/>
      <c r="S252" s="25"/>
      <c r="T252" s="51">
        <v>44531</v>
      </c>
      <c r="U252" s="25"/>
      <c r="V252" s="25"/>
      <c r="W252" s="25" t="s">
        <v>1108</v>
      </c>
      <c r="X252" s="25" t="s">
        <v>1109</v>
      </c>
      <c r="Y252" s="25"/>
      <c r="Z252" s="25"/>
      <c r="AA252" s="25"/>
      <c r="AB252" s="25"/>
      <c r="AC252" s="25" t="str">
        <f>TRIM(StudentScore[[#This Row],[Student Email]])</f>
        <v>apisith.roo@student.mahidol.ac.th</v>
      </c>
    </row>
    <row r="253" spans="1:29" ht="27">
      <c r="A253" s="15">
        <v>247</v>
      </c>
      <c r="B253" s="16">
        <f t="shared" si="14"/>
        <v>62</v>
      </c>
      <c r="C253" s="27">
        <f t="shared" si="15"/>
        <v>2022</v>
      </c>
      <c r="D253" s="54"/>
      <c r="E253" s="17">
        <v>6288118</v>
      </c>
      <c r="F253" s="14" t="s">
        <v>38</v>
      </c>
      <c r="G253" s="14" t="s">
        <v>1110</v>
      </c>
      <c r="H253" s="18" t="s">
        <v>1111</v>
      </c>
      <c r="I253" s="25" t="s">
        <v>124</v>
      </c>
      <c r="J253" s="25">
        <v>6.5</v>
      </c>
      <c r="K253" s="25">
        <v>8</v>
      </c>
      <c r="L253" s="25">
        <v>7.5</v>
      </c>
      <c r="M253" s="25">
        <v>5.5</v>
      </c>
      <c r="N253" s="25">
        <v>5.5</v>
      </c>
      <c r="O253" s="25"/>
      <c r="P253" s="25"/>
      <c r="Q253" s="25"/>
      <c r="R253" s="25"/>
      <c r="S253" s="35">
        <v>44241</v>
      </c>
      <c r="T253" s="51">
        <v>44409</v>
      </c>
      <c r="U253" s="25"/>
      <c r="V253" s="25"/>
      <c r="W253" s="25" t="s">
        <v>1112</v>
      </c>
      <c r="X253" s="25" t="s">
        <v>1113</v>
      </c>
      <c r="Y253" s="25"/>
      <c r="Z253" s="25"/>
      <c r="AA253" s="25"/>
      <c r="AB253" s="25"/>
      <c r="AC253" s="25" t="str">
        <f>TRIM(StudentScore[[#This Row],[Student Email]])</f>
        <v>paphon.sae@student.mahidol.ac.th</v>
      </c>
    </row>
    <row r="254" spans="1:29" ht="27">
      <c r="A254" s="15">
        <v>248</v>
      </c>
      <c r="B254" s="16">
        <f t="shared" si="14"/>
        <v>62</v>
      </c>
      <c r="C254" s="27">
        <f t="shared" si="15"/>
        <v>2022</v>
      </c>
      <c r="D254" s="54"/>
      <c r="E254" s="17">
        <v>6288119</v>
      </c>
      <c r="F254" s="14" t="s">
        <v>38</v>
      </c>
      <c r="G254" s="14" t="s">
        <v>1114</v>
      </c>
      <c r="H254" s="18" t="s">
        <v>1115</v>
      </c>
      <c r="I254" s="25" t="s">
        <v>102</v>
      </c>
      <c r="J254" s="25">
        <v>77</v>
      </c>
      <c r="K254" s="25"/>
      <c r="L254" s="25"/>
      <c r="M254" s="25"/>
      <c r="N254" s="25"/>
      <c r="O254" s="25"/>
      <c r="P254" s="25"/>
      <c r="Q254" s="25"/>
      <c r="R254" s="25"/>
      <c r="S254" s="35">
        <v>44892</v>
      </c>
      <c r="T254" s="35">
        <v>44935</v>
      </c>
      <c r="U254" s="25"/>
      <c r="V254" s="25"/>
      <c r="W254" s="25" t="s">
        <v>1116</v>
      </c>
      <c r="X254" s="25" t="s">
        <v>1117</v>
      </c>
      <c r="Y254" s="25"/>
      <c r="Z254" s="25"/>
      <c r="AA254" s="25"/>
      <c r="AB254" s="25"/>
      <c r="AC254" s="25" t="str">
        <f>TRIM(StudentScore[[#This Row],[Student Email]])</f>
        <v>sirichai.sae@student.mahidol.ac.th</v>
      </c>
    </row>
    <row r="255" spans="1:29" ht="27">
      <c r="A255" s="15">
        <v>249</v>
      </c>
      <c r="B255" s="16">
        <f t="shared" si="14"/>
        <v>62</v>
      </c>
      <c r="C255" s="27">
        <f t="shared" si="15"/>
        <v>2022</v>
      </c>
      <c r="D255" s="54"/>
      <c r="E255" s="17">
        <v>6288120</v>
      </c>
      <c r="F255" s="14" t="s">
        <v>117</v>
      </c>
      <c r="G255" s="14" t="s">
        <v>1118</v>
      </c>
      <c r="H255" s="18" t="s">
        <v>1119</v>
      </c>
      <c r="I255" s="25" t="s">
        <v>48</v>
      </c>
      <c r="J255" s="25">
        <v>680</v>
      </c>
      <c r="K255" s="25">
        <v>305</v>
      </c>
      <c r="L255" s="25">
        <v>375</v>
      </c>
      <c r="M255" s="25"/>
      <c r="N255" s="25"/>
      <c r="O255" s="25"/>
      <c r="P255" s="25"/>
      <c r="Q255" s="25"/>
      <c r="R255" s="25"/>
      <c r="S255" s="35">
        <v>44034</v>
      </c>
      <c r="T255" s="51">
        <v>44044</v>
      </c>
      <c r="U255" s="25"/>
      <c r="V255" s="25"/>
      <c r="W255" s="25" t="s">
        <v>1120</v>
      </c>
      <c r="X255" s="25" t="s">
        <v>1121</v>
      </c>
      <c r="Y255" s="25"/>
      <c r="Z255" s="25"/>
      <c r="AA255" s="25"/>
      <c r="AB255" s="25"/>
      <c r="AC255" s="25" t="str">
        <f>TRIM(StudentScore[[#This Row],[Student Email]])</f>
        <v>pimpavee.sai@student.mahidol.ac.th</v>
      </c>
    </row>
    <row r="256" spans="1:29" ht="27">
      <c r="A256" s="15">
        <v>250</v>
      </c>
      <c r="B256" s="16">
        <f t="shared" si="14"/>
        <v>62</v>
      </c>
      <c r="C256" s="27">
        <f t="shared" si="15"/>
        <v>2022</v>
      </c>
      <c r="D256" s="54"/>
      <c r="E256" s="17">
        <v>6288121</v>
      </c>
      <c r="F256" s="14" t="s">
        <v>38</v>
      </c>
      <c r="G256" s="14" t="s">
        <v>1122</v>
      </c>
      <c r="H256" s="18" t="s">
        <v>1123</v>
      </c>
      <c r="I256" s="25" t="s">
        <v>102</v>
      </c>
      <c r="J256" s="25">
        <v>88</v>
      </c>
      <c r="K256" s="25"/>
      <c r="L256" s="25"/>
      <c r="M256" s="25"/>
      <c r="N256" s="25"/>
      <c r="O256" s="25"/>
      <c r="P256" s="25"/>
      <c r="Q256" s="25"/>
      <c r="R256" s="25"/>
      <c r="S256" s="25"/>
      <c r="T256" s="51">
        <v>44531</v>
      </c>
      <c r="U256" s="25"/>
      <c r="V256" s="25"/>
      <c r="W256" s="25" t="s">
        <v>1124</v>
      </c>
      <c r="X256" s="25" t="s">
        <v>1125</v>
      </c>
      <c r="Y256" s="25"/>
      <c r="Z256" s="25"/>
      <c r="AA256" s="25"/>
      <c r="AB256" s="25"/>
      <c r="AC256" s="25" t="str">
        <f>TRIM(StudentScore[[#This Row],[Student Email]])</f>
        <v>peangtep.sae@student.mahidol.ac.th</v>
      </c>
    </row>
    <row r="257" spans="1:29" ht="27">
      <c r="A257" s="15">
        <v>251</v>
      </c>
      <c r="B257" s="16">
        <f t="shared" si="14"/>
        <v>62</v>
      </c>
      <c r="C257" s="27">
        <f t="shared" si="15"/>
        <v>2022</v>
      </c>
      <c r="D257" s="54"/>
      <c r="E257" s="17">
        <v>6288122</v>
      </c>
      <c r="F257" s="14" t="s">
        <v>117</v>
      </c>
      <c r="G257" s="14" t="s">
        <v>1126</v>
      </c>
      <c r="H257" s="18" t="s">
        <v>1127</v>
      </c>
      <c r="I257" s="25" t="s">
        <v>48</v>
      </c>
      <c r="J257" s="25">
        <v>875</v>
      </c>
      <c r="K257" s="25">
        <v>455</v>
      </c>
      <c r="L257" s="25">
        <v>420</v>
      </c>
      <c r="M257" s="25"/>
      <c r="N257" s="25"/>
      <c r="O257" s="25"/>
      <c r="P257" s="25"/>
      <c r="Q257" s="25"/>
      <c r="R257" s="25"/>
      <c r="S257" s="35">
        <v>44034</v>
      </c>
      <c r="T257" s="51">
        <v>44044</v>
      </c>
      <c r="U257" s="25"/>
      <c r="V257" s="25"/>
      <c r="W257" s="25" t="s">
        <v>1128</v>
      </c>
      <c r="X257" s="25" t="s">
        <v>1129</v>
      </c>
      <c r="Y257" s="25"/>
      <c r="Z257" s="25"/>
      <c r="AA257" s="25"/>
      <c r="AB257" s="25"/>
      <c r="AC257" s="25" t="str">
        <f>TRIM(StudentScore[[#This Row],[Student Email]])</f>
        <v>lanlana.san@student.mahidol.ac.th</v>
      </c>
    </row>
    <row r="258" spans="1:29" ht="27">
      <c r="A258" s="15">
        <v>252</v>
      </c>
      <c r="B258" s="16">
        <f t="shared" si="14"/>
        <v>62</v>
      </c>
      <c r="C258" s="27">
        <f t="shared" si="15"/>
        <v>2022</v>
      </c>
      <c r="D258" s="54"/>
      <c r="E258" s="17">
        <v>6288123</v>
      </c>
      <c r="F258" s="14" t="s">
        <v>38</v>
      </c>
      <c r="G258" s="14" t="s">
        <v>1130</v>
      </c>
      <c r="H258" s="18" t="s">
        <v>1131</v>
      </c>
      <c r="I258" s="25" t="s">
        <v>102</v>
      </c>
      <c r="J258" s="25">
        <v>87</v>
      </c>
      <c r="K258" s="25"/>
      <c r="L258" s="25"/>
      <c r="M258" s="25"/>
      <c r="N258" s="25"/>
      <c r="O258" s="25"/>
      <c r="P258" s="25"/>
      <c r="Q258" s="25"/>
      <c r="R258" s="25"/>
      <c r="S258" s="25"/>
      <c r="T258" s="51">
        <v>44531</v>
      </c>
      <c r="U258" s="25"/>
      <c r="V258" s="25"/>
      <c r="W258" s="25" t="s">
        <v>1132</v>
      </c>
      <c r="X258" s="25" t="s">
        <v>1133</v>
      </c>
      <c r="Y258" s="25"/>
      <c r="Z258" s="25"/>
      <c r="AA258" s="25"/>
      <c r="AB258" s="25"/>
      <c r="AC258" s="25" t="str">
        <f>TRIM(StudentScore[[#This Row],[Student Email]])</f>
        <v>thanaboon.sap@student.mahidol.ac.th</v>
      </c>
    </row>
    <row r="259" spans="1:29" ht="27">
      <c r="A259" s="15">
        <v>253</v>
      </c>
      <c r="B259" s="16">
        <f t="shared" si="14"/>
        <v>62</v>
      </c>
      <c r="C259" s="27">
        <f t="shared" si="15"/>
        <v>2022</v>
      </c>
      <c r="D259" s="54"/>
      <c r="E259" s="17">
        <v>6288124</v>
      </c>
      <c r="F259" s="14" t="s">
        <v>38</v>
      </c>
      <c r="G259" s="14" t="s">
        <v>1134</v>
      </c>
      <c r="H259" s="18" t="s">
        <v>1135</v>
      </c>
      <c r="I259" s="25" t="s">
        <v>102</v>
      </c>
      <c r="J259" s="25">
        <v>78</v>
      </c>
      <c r="K259" s="25"/>
      <c r="L259" s="25"/>
      <c r="M259" s="25"/>
      <c r="N259" s="25"/>
      <c r="O259" s="25"/>
      <c r="P259" s="25"/>
      <c r="Q259" s="25"/>
      <c r="R259" s="25"/>
      <c r="S259" s="35">
        <v>45021</v>
      </c>
      <c r="T259" s="35">
        <v>45028</v>
      </c>
      <c r="U259" s="25"/>
      <c r="V259" s="25"/>
      <c r="W259" s="25" t="s">
        <v>1136</v>
      </c>
      <c r="X259" s="25" t="s">
        <v>1137</v>
      </c>
      <c r="Y259" s="25"/>
      <c r="Z259" s="25"/>
      <c r="AA259" s="25"/>
      <c r="AB259" s="25"/>
      <c r="AC259" s="25" t="str">
        <f>TRIM(StudentScore[[#This Row],[Student Email]])</f>
        <v>pantakorn.sat@student.mahidol.ac.th</v>
      </c>
    </row>
    <row r="260" spans="1:29" ht="27">
      <c r="A260" s="15">
        <v>254</v>
      </c>
      <c r="B260" s="16">
        <f t="shared" si="14"/>
        <v>62</v>
      </c>
      <c r="C260" s="27">
        <f t="shared" si="15"/>
        <v>2022</v>
      </c>
      <c r="D260" s="54"/>
      <c r="E260" s="17">
        <v>6288125</v>
      </c>
      <c r="F260" s="14" t="s">
        <v>38</v>
      </c>
      <c r="G260" s="14" t="s">
        <v>1138</v>
      </c>
      <c r="H260" s="18" t="s">
        <v>1139</v>
      </c>
      <c r="I260" s="25" t="s">
        <v>244</v>
      </c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 t="s">
        <v>1140</v>
      </c>
      <c r="Y260" s="25"/>
      <c r="Z260" s="25"/>
      <c r="AA260" s="25"/>
      <c r="AB260" s="25"/>
      <c r="AC260" s="25" t="str">
        <f>TRIM(StudentScore[[#This Row],[Student Email]])</f>
        <v>saranchai.sut@student.mahidol.ac.th</v>
      </c>
    </row>
    <row r="261" spans="1:29" ht="27">
      <c r="A261" s="15">
        <v>255</v>
      </c>
      <c r="B261" s="16">
        <f t="shared" si="14"/>
        <v>62</v>
      </c>
      <c r="C261" s="27">
        <f t="shared" si="15"/>
        <v>2022</v>
      </c>
      <c r="D261" s="54"/>
      <c r="E261" s="17">
        <v>6288126</v>
      </c>
      <c r="F261" s="14" t="s">
        <v>117</v>
      </c>
      <c r="G261" s="14" t="s">
        <v>1141</v>
      </c>
      <c r="H261" s="18" t="s">
        <v>1142</v>
      </c>
      <c r="I261" s="25" t="s">
        <v>53</v>
      </c>
      <c r="J261" s="25">
        <v>104</v>
      </c>
      <c r="K261" s="25">
        <v>49</v>
      </c>
      <c r="L261" s="25">
        <v>55</v>
      </c>
      <c r="M261" s="25"/>
      <c r="N261" s="25"/>
      <c r="O261" s="25"/>
      <c r="P261" s="25"/>
      <c r="Q261" s="25"/>
      <c r="R261" s="25"/>
      <c r="S261" s="35">
        <v>44121</v>
      </c>
      <c r="T261" s="51">
        <v>44105</v>
      </c>
      <c r="U261" s="25"/>
      <c r="V261" s="25"/>
      <c r="W261" s="25" t="s">
        <v>1143</v>
      </c>
      <c r="X261" s="25" t="s">
        <v>1144</v>
      </c>
      <c r="Y261" s="25"/>
      <c r="Z261" s="25"/>
      <c r="AA261" s="25"/>
      <c r="AB261" s="25"/>
      <c r="AC261" s="25" t="str">
        <f>TRIM(StudentScore[[#This Row],[Student Email]])</f>
        <v>tasha.set@student.mahidol.ac.th</v>
      </c>
    </row>
    <row r="262" spans="1:29" ht="27">
      <c r="A262" s="15">
        <v>256</v>
      </c>
      <c r="B262" s="16">
        <f t="shared" si="14"/>
        <v>62</v>
      </c>
      <c r="C262" s="27">
        <f t="shared" si="15"/>
        <v>2022</v>
      </c>
      <c r="D262" s="54"/>
      <c r="E262" s="17">
        <v>6288127</v>
      </c>
      <c r="F262" s="14" t="s">
        <v>38</v>
      </c>
      <c r="G262" s="14" t="s">
        <v>1145</v>
      </c>
      <c r="H262" s="18" t="s">
        <v>1146</v>
      </c>
      <c r="I262" s="25" t="s">
        <v>102</v>
      </c>
      <c r="J262" s="25">
        <v>93</v>
      </c>
      <c r="K262" s="25"/>
      <c r="L262" s="25"/>
      <c r="M262" s="25"/>
      <c r="N262" s="25"/>
      <c r="O262" s="25"/>
      <c r="P262" s="25"/>
      <c r="Q262" s="25"/>
      <c r="R262" s="25"/>
      <c r="S262" s="25"/>
      <c r="T262" s="51">
        <v>44531</v>
      </c>
      <c r="U262" s="25"/>
      <c r="V262" s="25"/>
      <c r="W262" s="25" t="s">
        <v>1147</v>
      </c>
      <c r="X262" s="25" t="s">
        <v>1148</v>
      </c>
      <c r="Y262" s="25"/>
      <c r="Z262" s="25"/>
      <c r="AA262" s="25"/>
      <c r="AB262" s="25"/>
      <c r="AC262" s="25" t="str">
        <f>TRIM(StudentScore[[#This Row],[Student Email]])</f>
        <v>pattadon.sin@student.mahidol.ac.th</v>
      </c>
    </row>
    <row r="263" spans="1:29" ht="27">
      <c r="A263" s="15">
        <v>257</v>
      </c>
      <c r="B263" s="16">
        <f t="shared" si="14"/>
        <v>62</v>
      </c>
      <c r="C263" s="27">
        <f t="shared" si="15"/>
        <v>2022</v>
      </c>
      <c r="D263" s="54"/>
      <c r="E263" s="17">
        <v>6288128</v>
      </c>
      <c r="F263" s="14" t="s">
        <v>38</v>
      </c>
      <c r="G263" s="14" t="s">
        <v>1149</v>
      </c>
      <c r="H263" s="18" t="s">
        <v>1150</v>
      </c>
      <c r="I263" s="25" t="s">
        <v>102</v>
      </c>
      <c r="J263" s="25">
        <v>83</v>
      </c>
      <c r="K263" s="25"/>
      <c r="L263" s="25"/>
      <c r="M263" s="25"/>
      <c r="N263" s="25"/>
      <c r="O263" s="25"/>
      <c r="P263" s="25"/>
      <c r="Q263" s="25"/>
      <c r="R263" s="25"/>
      <c r="S263" s="25"/>
      <c r="T263" s="51">
        <v>44531</v>
      </c>
      <c r="U263" s="25"/>
      <c r="V263" s="25"/>
      <c r="W263" s="25" t="s">
        <v>1151</v>
      </c>
      <c r="X263" s="25" t="s">
        <v>1152</v>
      </c>
      <c r="Y263" s="25"/>
      <c r="Z263" s="25"/>
      <c r="AA263" s="25"/>
      <c r="AB263" s="25"/>
      <c r="AC263" s="25" t="str">
        <f>TRIM(StudentScore[[#This Row],[Student Email]])</f>
        <v>donlawat.saa@student.mahidol.ac.th</v>
      </c>
    </row>
    <row r="264" spans="1:29" ht="27">
      <c r="A264" s="15">
        <v>258</v>
      </c>
      <c r="B264" s="16">
        <f t="shared" si="14"/>
        <v>62</v>
      </c>
      <c r="C264" s="27">
        <f t="shared" si="15"/>
        <v>2022</v>
      </c>
      <c r="D264" s="54"/>
      <c r="E264" s="17">
        <v>6288129</v>
      </c>
      <c r="F264" s="14" t="s">
        <v>117</v>
      </c>
      <c r="G264" s="14" t="s">
        <v>1153</v>
      </c>
      <c r="H264" s="18" t="s">
        <v>1154</v>
      </c>
      <c r="I264" s="25" t="s">
        <v>102</v>
      </c>
      <c r="J264" s="25">
        <v>76</v>
      </c>
      <c r="K264" s="25"/>
      <c r="L264" s="25"/>
      <c r="M264" s="25"/>
      <c r="N264" s="25"/>
      <c r="O264" s="25"/>
      <c r="P264" s="25"/>
      <c r="Q264" s="25"/>
      <c r="R264" s="25"/>
      <c r="S264" s="35">
        <v>44892</v>
      </c>
      <c r="T264" s="35">
        <v>44935</v>
      </c>
      <c r="U264" s="25"/>
      <c r="V264" s="25"/>
      <c r="W264" s="25" t="s">
        <v>1155</v>
      </c>
      <c r="X264" s="25" t="s">
        <v>1156</v>
      </c>
      <c r="Y264" s="25"/>
      <c r="Z264" s="25"/>
      <c r="AA264" s="25"/>
      <c r="AB264" s="25"/>
      <c r="AC264" s="25" t="str">
        <f>TRIM(StudentScore[[#This Row],[Student Email]])</f>
        <v>panpaporn.sir@student.mahidol.ac.th</v>
      </c>
    </row>
    <row r="265" spans="1:29" ht="27">
      <c r="A265" s="15">
        <v>259</v>
      </c>
      <c r="B265" s="16">
        <f t="shared" ref="B265:B328" si="16">VALUE(LEFT(E265,2))</f>
        <v>62</v>
      </c>
      <c r="C265" s="27">
        <f t="shared" ref="C265:C328" si="17">VALUE("25"&amp;B265)-543+3</f>
        <v>2022</v>
      </c>
      <c r="D265" s="54"/>
      <c r="E265" s="17">
        <v>6288130</v>
      </c>
      <c r="F265" s="14" t="s">
        <v>38</v>
      </c>
      <c r="G265" s="14" t="s">
        <v>1157</v>
      </c>
      <c r="H265" s="18" t="s">
        <v>1158</v>
      </c>
      <c r="I265" s="25" t="s">
        <v>102</v>
      </c>
      <c r="J265" s="25">
        <v>83</v>
      </c>
      <c r="K265" s="25"/>
      <c r="L265" s="25"/>
      <c r="M265" s="25"/>
      <c r="N265" s="25"/>
      <c r="O265" s="25"/>
      <c r="P265" s="25"/>
      <c r="Q265" s="25"/>
      <c r="R265" s="25"/>
      <c r="S265" s="25"/>
      <c r="T265" s="51">
        <v>44531</v>
      </c>
      <c r="U265" s="25"/>
      <c r="V265" s="25"/>
      <c r="W265" s="25" t="s">
        <v>1159</v>
      </c>
      <c r="X265" s="25" t="s">
        <v>1160</v>
      </c>
      <c r="Y265" s="25"/>
      <c r="Z265" s="25"/>
      <c r="AA265" s="25"/>
      <c r="AB265" s="25"/>
      <c r="AC265" s="25" t="str">
        <f>TRIM(StudentScore[[#This Row],[Student Email]])</f>
        <v>akkarapong.sir@student.mahidol.ac.th</v>
      </c>
    </row>
    <row r="266" spans="1:29" ht="27">
      <c r="A266" s="15">
        <v>260</v>
      </c>
      <c r="B266" s="16">
        <f t="shared" si="16"/>
        <v>62</v>
      </c>
      <c r="C266" s="27">
        <f t="shared" si="17"/>
        <v>2022</v>
      </c>
      <c r="D266" s="54"/>
      <c r="E266" s="17">
        <v>6288131</v>
      </c>
      <c r="F266" s="14" t="s">
        <v>117</v>
      </c>
      <c r="G266" s="14" t="s">
        <v>1161</v>
      </c>
      <c r="H266" s="18" t="s">
        <v>1162</v>
      </c>
      <c r="I266" s="25" t="s">
        <v>48</v>
      </c>
      <c r="J266" s="25">
        <v>695</v>
      </c>
      <c r="K266" s="25">
        <v>380</v>
      </c>
      <c r="L266" s="25">
        <v>315</v>
      </c>
      <c r="M266" s="25"/>
      <c r="N266" s="25"/>
      <c r="O266" s="25"/>
      <c r="P266" s="25"/>
      <c r="Q266" s="25"/>
      <c r="R266" s="25"/>
      <c r="S266" s="35">
        <v>44965</v>
      </c>
      <c r="T266" s="35">
        <v>44977</v>
      </c>
      <c r="U266" s="25"/>
      <c r="V266" s="25"/>
      <c r="W266" s="25" t="s">
        <v>1163</v>
      </c>
      <c r="X266" s="25" t="s">
        <v>1164</v>
      </c>
      <c r="Y266" s="25"/>
      <c r="Z266" s="25"/>
      <c r="AA266" s="25"/>
      <c r="AB266" s="25"/>
      <c r="AC266" s="25" t="str">
        <f>TRIM(StudentScore[[#This Row],[Student Email]])</f>
        <v>Patthita.som@student.mahidol.ac.th</v>
      </c>
    </row>
    <row r="267" spans="1:29" ht="27">
      <c r="A267" s="15">
        <v>261</v>
      </c>
      <c r="B267" s="16">
        <f t="shared" si="16"/>
        <v>62</v>
      </c>
      <c r="C267" s="27">
        <f t="shared" si="17"/>
        <v>2022</v>
      </c>
      <c r="D267" s="54"/>
      <c r="E267" s="17">
        <v>6288132</v>
      </c>
      <c r="F267" s="14" t="s">
        <v>117</v>
      </c>
      <c r="G267" s="14" t="s">
        <v>1165</v>
      </c>
      <c r="H267" s="18" t="s">
        <v>1166</v>
      </c>
      <c r="I267" s="25" t="s">
        <v>102</v>
      </c>
      <c r="J267" s="25">
        <v>92</v>
      </c>
      <c r="K267" s="25"/>
      <c r="L267" s="25"/>
      <c r="M267" s="25"/>
      <c r="N267" s="25"/>
      <c r="O267" s="25"/>
      <c r="P267" s="25"/>
      <c r="Q267" s="25"/>
      <c r="R267" s="25"/>
      <c r="S267" s="25"/>
      <c r="T267" s="51">
        <v>44531</v>
      </c>
      <c r="U267" s="25"/>
      <c r="V267" s="25"/>
      <c r="W267" s="25" t="s">
        <v>1167</v>
      </c>
      <c r="X267" s="25" t="s">
        <v>1168</v>
      </c>
      <c r="Y267" s="25"/>
      <c r="Z267" s="25"/>
      <c r="AA267" s="25"/>
      <c r="AB267" s="25"/>
      <c r="AC267" s="25" t="str">
        <f>TRIM(StudentScore[[#This Row],[Student Email]])</f>
        <v>araya.srk@student.mahidol.ac.th</v>
      </c>
    </row>
    <row r="268" spans="1:29" ht="27">
      <c r="A268" s="15">
        <v>262</v>
      </c>
      <c r="B268" s="16">
        <f t="shared" si="16"/>
        <v>62</v>
      </c>
      <c r="C268" s="27">
        <f t="shared" si="17"/>
        <v>2022</v>
      </c>
      <c r="D268" s="54"/>
      <c r="E268" s="17">
        <v>6288133</v>
      </c>
      <c r="F268" s="14" t="s">
        <v>38</v>
      </c>
      <c r="G268" s="14" t="s">
        <v>1169</v>
      </c>
      <c r="H268" s="18" t="s">
        <v>1170</v>
      </c>
      <c r="I268" s="25" t="s">
        <v>53</v>
      </c>
      <c r="J268" s="25">
        <v>95</v>
      </c>
      <c r="K268" s="25">
        <v>49</v>
      </c>
      <c r="L268" s="25">
        <v>46</v>
      </c>
      <c r="M268" s="25"/>
      <c r="N268" s="25"/>
      <c r="O268" s="25"/>
      <c r="P268" s="25"/>
      <c r="Q268" s="25"/>
      <c r="R268" s="25"/>
      <c r="S268" s="26">
        <v>44643</v>
      </c>
      <c r="T268" s="35">
        <v>44679</v>
      </c>
      <c r="U268" s="25"/>
      <c r="V268" s="25"/>
      <c r="W268" s="25" t="s">
        <v>1171</v>
      </c>
      <c r="X268" s="25" t="s">
        <v>1172</v>
      </c>
      <c r="Y268" s="42">
        <v>44679.665810185186</v>
      </c>
      <c r="Z268" s="25" t="s">
        <v>1173</v>
      </c>
      <c r="AA268" s="25"/>
      <c r="AB268" s="25"/>
      <c r="AC268" s="25" t="str">
        <f>TRIM(StudentScore[[#This Row],[Student Email]])</f>
        <v>kantapon.sri@student.mahidol.ac.th</v>
      </c>
    </row>
    <row r="269" spans="1:29" ht="27">
      <c r="A269" s="15">
        <v>263</v>
      </c>
      <c r="B269" s="16">
        <f t="shared" si="16"/>
        <v>62</v>
      </c>
      <c r="C269" s="27">
        <f t="shared" si="17"/>
        <v>2022</v>
      </c>
      <c r="D269" s="54"/>
      <c r="E269" s="17">
        <v>6288134</v>
      </c>
      <c r="F269" s="14" t="s">
        <v>38</v>
      </c>
      <c r="G269" s="14" t="s">
        <v>1174</v>
      </c>
      <c r="H269" s="18" t="s">
        <v>1175</v>
      </c>
      <c r="I269" s="25" t="s">
        <v>53</v>
      </c>
      <c r="J269" s="25">
        <v>92</v>
      </c>
      <c r="K269" s="25">
        <v>49</v>
      </c>
      <c r="L269" s="25">
        <v>43</v>
      </c>
      <c r="M269" s="25"/>
      <c r="N269" s="25"/>
      <c r="O269" s="25"/>
      <c r="P269" s="25"/>
      <c r="Q269" s="25"/>
      <c r="R269" s="25"/>
      <c r="S269" s="26">
        <v>44807</v>
      </c>
      <c r="T269" s="51">
        <v>44835</v>
      </c>
      <c r="U269" s="25"/>
      <c r="V269" s="25"/>
      <c r="W269" s="25" t="s">
        <v>1176</v>
      </c>
      <c r="X269" s="25" t="s">
        <v>1177</v>
      </c>
      <c r="Y269" s="42">
        <v>44831.533252314817</v>
      </c>
      <c r="Z269" s="25" t="s">
        <v>1178</v>
      </c>
      <c r="AA269" s="25"/>
      <c r="AB269" s="25"/>
      <c r="AC269" s="25" t="str">
        <f>TRIM(StudentScore[[#This Row],[Student Email]])</f>
        <v>rathakit.sri@student.mahidol.ac.th</v>
      </c>
    </row>
    <row r="270" spans="1:29" ht="27">
      <c r="A270" s="15">
        <v>264</v>
      </c>
      <c r="B270" s="16">
        <f t="shared" si="16"/>
        <v>62</v>
      </c>
      <c r="C270" s="27">
        <f t="shared" si="17"/>
        <v>2022</v>
      </c>
      <c r="D270" s="54"/>
      <c r="E270" s="17">
        <v>6288135</v>
      </c>
      <c r="F270" s="14" t="s">
        <v>38</v>
      </c>
      <c r="G270" s="14" t="s">
        <v>1179</v>
      </c>
      <c r="H270" s="18" t="s">
        <v>1180</v>
      </c>
      <c r="I270" s="25" t="s">
        <v>48</v>
      </c>
      <c r="J270" s="25">
        <v>790</v>
      </c>
      <c r="K270" s="25">
        <v>400</v>
      </c>
      <c r="L270" s="25">
        <v>390</v>
      </c>
      <c r="M270" s="25"/>
      <c r="N270" s="25"/>
      <c r="O270" s="25"/>
      <c r="P270" s="25"/>
      <c r="Q270" s="25"/>
      <c r="R270" s="25"/>
      <c r="S270" s="35">
        <v>44090</v>
      </c>
      <c r="T270" s="51">
        <v>44075</v>
      </c>
      <c r="U270" s="25"/>
      <c r="V270" s="25"/>
      <c r="W270" s="25" t="s">
        <v>1181</v>
      </c>
      <c r="X270" s="25" t="s">
        <v>1182</v>
      </c>
      <c r="Y270" s="25"/>
      <c r="Z270" s="25"/>
      <c r="AA270" s="25"/>
      <c r="AB270" s="25"/>
      <c r="AC270" s="25" t="str">
        <f>TRIM(StudentScore[[#This Row],[Student Email]])</f>
        <v>wish.suc@student.mahidol.ac.th</v>
      </c>
    </row>
    <row r="271" spans="1:29" ht="27">
      <c r="A271" s="15">
        <v>265</v>
      </c>
      <c r="B271" s="16">
        <f t="shared" si="16"/>
        <v>62</v>
      </c>
      <c r="C271" s="27">
        <f t="shared" si="17"/>
        <v>2022</v>
      </c>
      <c r="D271" s="54"/>
      <c r="E271" s="17">
        <v>6288136</v>
      </c>
      <c r="F271" s="14" t="s">
        <v>38</v>
      </c>
      <c r="G271" s="14" t="s">
        <v>447</v>
      </c>
      <c r="H271" s="18" t="s">
        <v>1183</v>
      </c>
      <c r="I271" s="25" t="s">
        <v>48</v>
      </c>
      <c r="J271" s="25">
        <v>865</v>
      </c>
      <c r="K271" s="25">
        <v>455</v>
      </c>
      <c r="L271" s="25">
        <v>410</v>
      </c>
      <c r="M271" s="25"/>
      <c r="N271" s="25"/>
      <c r="O271" s="25"/>
      <c r="P271" s="25"/>
      <c r="Q271" s="25"/>
      <c r="R271" s="25"/>
      <c r="S271" s="26">
        <v>44853</v>
      </c>
      <c r="T271" s="35">
        <v>44958</v>
      </c>
      <c r="U271" s="25"/>
      <c r="V271" s="25" t="s">
        <v>1</v>
      </c>
      <c r="W271" s="25" t="s">
        <v>1184</v>
      </c>
      <c r="X271" s="25" t="s">
        <v>1185</v>
      </c>
      <c r="Y271" s="42">
        <v>44958.652962962966</v>
      </c>
      <c r="Z271" s="25" t="s">
        <v>1186</v>
      </c>
      <c r="AA271" s="25"/>
      <c r="AB271" s="25"/>
      <c r="AC271" s="25" t="str">
        <f>TRIM(StudentScore[[#This Row],[Student Email]])</f>
        <v>napat.sut@student.mahidol.ac.th</v>
      </c>
    </row>
    <row r="272" spans="1:29" ht="27">
      <c r="A272" s="15">
        <v>266</v>
      </c>
      <c r="B272" s="16">
        <f t="shared" si="16"/>
        <v>62</v>
      </c>
      <c r="C272" s="27">
        <f t="shared" si="17"/>
        <v>2022</v>
      </c>
      <c r="D272" s="54"/>
      <c r="E272" s="17">
        <v>6288137</v>
      </c>
      <c r="F272" s="14" t="s">
        <v>38</v>
      </c>
      <c r="G272" s="14" t="s">
        <v>1187</v>
      </c>
      <c r="H272" s="18" t="s">
        <v>1188</v>
      </c>
      <c r="I272" s="25" t="s">
        <v>64</v>
      </c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 t="s">
        <v>1189</v>
      </c>
      <c r="X272" s="25" t="s">
        <v>1190</v>
      </c>
      <c r="Y272" s="25"/>
      <c r="Z272" s="25"/>
      <c r="AA272" s="25"/>
      <c r="AB272" s="25"/>
      <c r="AC272" s="25" t="str">
        <f>TRIM(StudentScore[[#This Row],[Student Email]])</f>
        <v>chayaphol.tan@student.mahidol.ac.th</v>
      </c>
    </row>
    <row r="273" spans="1:29" ht="27">
      <c r="A273" s="15">
        <v>267</v>
      </c>
      <c r="B273" s="16">
        <f t="shared" si="16"/>
        <v>62</v>
      </c>
      <c r="C273" s="27">
        <f t="shared" si="17"/>
        <v>2022</v>
      </c>
      <c r="D273" s="54"/>
      <c r="E273" s="17">
        <v>6288138</v>
      </c>
      <c r="F273" s="14" t="s">
        <v>38</v>
      </c>
      <c r="G273" s="14" t="s">
        <v>1191</v>
      </c>
      <c r="H273" s="18" t="s">
        <v>1192</v>
      </c>
      <c r="I273" s="25" t="s">
        <v>102</v>
      </c>
      <c r="J273" s="25">
        <v>77</v>
      </c>
      <c r="K273" s="25"/>
      <c r="L273" s="25"/>
      <c r="M273" s="25"/>
      <c r="N273" s="25"/>
      <c r="O273" s="25"/>
      <c r="P273" s="25"/>
      <c r="Q273" s="25"/>
      <c r="R273" s="25"/>
      <c r="S273" s="25"/>
      <c r="T273" s="51">
        <v>44531</v>
      </c>
      <c r="U273" s="25"/>
      <c r="V273" s="25"/>
      <c r="W273" s="25" t="s">
        <v>1193</v>
      </c>
      <c r="X273" s="25" t="s">
        <v>1194</v>
      </c>
      <c r="Y273" s="25"/>
      <c r="Z273" s="25"/>
      <c r="AA273" s="25"/>
      <c r="AB273" s="25"/>
      <c r="AC273" s="25" t="str">
        <f>TRIM(StudentScore[[#This Row],[Student Email]])</f>
        <v>jirawat.srt@student.mahidol.ac.th</v>
      </c>
    </row>
    <row r="274" spans="1:29" ht="27">
      <c r="A274" s="15">
        <v>268</v>
      </c>
      <c r="B274" s="16">
        <f t="shared" si="16"/>
        <v>62</v>
      </c>
      <c r="C274" s="27">
        <f t="shared" si="17"/>
        <v>2022</v>
      </c>
      <c r="D274" s="54"/>
      <c r="E274" s="17">
        <v>6288139</v>
      </c>
      <c r="F274" s="14" t="s">
        <v>38</v>
      </c>
      <c r="G274" s="14" t="s">
        <v>1195</v>
      </c>
      <c r="H274" s="18" t="s">
        <v>1196</v>
      </c>
      <c r="I274" s="25" t="s">
        <v>64</v>
      </c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 t="s">
        <v>1197</v>
      </c>
      <c r="X274" s="25" t="s">
        <v>1198</v>
      </c>
      <c r="Y274" s="25"/>
      <c r="Z274" s="25"/>
      <c r="AA274" s="25"/>
      <c r="AB274" s="25"/>
      <c r="AC274" s="25" t="str">
        <f>TRIM(StudentScore[[#This Row],[Student Email]])</f>
        <v>pannatorn.tha@student.mahidol.ac.th</v>
      </c>
    </row>
    <row r="275" spans="1:29" ht="27">
      <c r="A275" s="15">
        <v>269</v>
      </c>
      <c r="B275" s="16">
        <f t="shared" si="16"/>
        <v>62</v>
      </c>
      <c r="C275" s="27">
        <f t="shared" si="17"/>
        <v>2022</v>
      </c>
      <c r="D275" s="54"/>
      <c r="E275" s="17">
        <v>6288141</v>
      </c>
      <c r="F275" s="14" t="s">
        <v>38</v>
      </c>
      <c r="G275" s="14" t="s">
        <v>1199</v>
      </c>
      <c r="H275" s="18" t="s">
        <v>1200</v>
      </c>
      <c r="I275" s="25" t="s">
        <v>244</v>
      </c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 t="s">
        <v>1201</v>
      </c>
      <c r="X275" s="25" t="s">
        <v>1202</v>
      </c>
      <c r="Y275" s="25"/>
      <c r="Z275" s="25"/>
      <c r="AA275" s="25"/>
      <c r="AB275" s="25"/>
      <c r="AC275" s="25" t="str">
        <f>TRIM(StudentScore[[#This Row],[Student Email]])</f>
        <v>phichit.vec@student.mahidol.ac.th</v>
      </c>
    </row>
    <row r="276" spans="1:29" ht="27">
      <c r="A276" s="15">
        <v>270</v>
      </c>
      <c r="B276" s="16">
        <f t="shared" si="16"/>
        <v>62</v>
      </c>
      <c r="C276" s="27">
        <f t="shared" si="17"/>
        <v>2022</v>
      </c>
      <c r="D276" s="54"/>
      <c r="E276" s="17">
        <v>6288142</v>
      </c>
      <c r="F276" s="14" t="s">
        <v>117</v>
      </c>
      <c r="G276" s="14" t="s">
        <v>1203</v>
      </c>
      <c r="H276" s="18" t="s">
        <v>1204</v>
      </c>
      <c r="I276" s="25" t="s">
        <v>244</v>
      </c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 t="s">
        <v>1205</v>
      </c>
      <c r="Y276" s="25"/>
      <c r="Z276" s="25"/>
      <c r="AA276" s="25"/>
      <c r="AB276" s="25"/>
      <c r="AC276" s="25" t="str">
        <f>TRIM(StudentScore[[#This Row],[Student Email]])</f>
        <v>viralda.vir@student.mahidol.ac.th</v>
      </c>
    </row>
    <row r="277" spans="1:29" ht="27">
      <c r="A277" s="15">
        <v>271</v>
      </c>
      <c r="B277" s="16">
        <f t="shared" si="16"/>
        <v>62</v>
      </c>
      <c r="C277" s="27">
        <f t="shared" si="17"/>
        <v>2022</v>
      </c>
      <c r="D277" s="54"/>
      <c r="E277" s="17">
        <v>6288143</v>
      </c>
      <c r="F277" s="14" t="s">
        <v>38</v>
      </c>
      <c r="G277" s="14" t="s">
        <v>1206</v>
      </c>
      <c r="H277" s="18" t="s">
        <v>1207</v>
      </c>
      <c r="I277" s="25" t="s">
        <v>48</v>
      </c>
      <c r="J277" s="25">
        <v>740</v>
      </c>
      <c r="K277" s="25">
        <v>370</v>
      </c>
      <c r="L277" s="25">
        <v>370</v>
      </c>
      <c r="M277" s="25"/>
      <c r="N277" s="25"/>
      <c r="O277" s="25"/>
      <c r="P277" s="25"/>
      <c r="Q277" s="25"/>
      <c r="R277" s="25"/>
      <c r="S277" s="35">
        <v>44747</v>
      </c>
      <c r="T277" s="51">
        <v>44774</v>
      </c>
      <c r="U277" s="25"/>
      <c r="V277" s="25"/>
      <c r="W277" s="25" t="s">
        <v>1208</v>
      </c>
      <c r="X277" s="25" t="s">
        <v>1209</v>
      </c>
      <c r="Y277" s="25"/>
      <c r="Z277" s="25"/>
      <c r="AA277" s="25"/>
      <c r="AB277" s="25"/>
      <c r="AC277" s="25" t="str">
        <f>TRIM(StudentScore[[#This Row],[Student Email]])</f>
        <v>boonyapat.suk@student.mahidol.ac.th</v>
      </c>
    </row>
    <row r="278" spans="1:29" ht="27">
      <c r="A278" s="15">
        <v>272</v>
      </c>
      <c r="B278" s="16">
        <f t="shared" si="16"/>
        <v>62</v>
      </c>
      <c r="C278" s="27">
        <f t="shared" si="17"/>
        <v>2022</v>
      </c>
      <c r="D278" s="54"/>
      <c r="E278" s="17">
        <v>6288144</v>
      </c>
      <c r="F278" s="14" t="s">
        <v>38</v>
      </c>
      <c r="G278" s="14" t="s">
        <v>1210</v>
      </c>
      <c r="H278" s="18" t="s">
        <v>1211</v>
      </c>
      <c r="I278" s="25" t="s">
        <v>48</v>
      </c>
      <c r="J278" s="25">
        <v>705</v>
      </c>
      <c r="K278" s="25">
        <v>425</v>
      </c>
      <c r="L278" s="25">
        <v>280</v>
      </c>
      <c r="M278" s="25"/>
      <c r="N278" s="25"/>
      <c r="O278" s="25"/>
      <c r="P278" s="25"/>
      <c r="Q278" s="25"/>
      <c r="R278" s="25"/>
      <c r="S278" s="26">
        <v>44629</v>
      </c>
      <c r="T278" s="25"/>
      <c r="U278" s="25"/>
      <c r="V278" s="25" t="s">
        <v>1</v>
      </c>
      <c r="W278" s="25" t="s">
        <v>1212</v>
      </c>
      <c r="X278" s="25" t="s">
        <v>1213</v>
      </c>
      <c r="Y278" s="42">
        <v>44642.763344907406</v>
      </c>
      <c r="Z278" s="25" t="s">
        <v>1214</v>
      </c>
      <c r="AA278" s="25"/>
      <c r="AB278" s="25"/>
      <c r="AC278" s="25" t="str">
        <f>TRIM(StudentScore[[#This Row],[Student Email]])</f>
        <v>pasakorn.won@student.mahidol.ac.th</v>
      </c>
    </row>
    <row r="279" spans="1:29" ht="27">
      <c r="A279" s="15">
        <v>273</v>
      </c>
      <c r="B279" s="16">
        <f t="shared" si="16"/>
        <v>62</v>
      </c>
      <c r="C279" s="27">
        <f t="shared" si="17"/>
        <v>2022</v>
      </c>
      <c r="D279" s="54"/>
      <c r="E279" s="17">
        <v>6288145</v>
      </c>
      <c r="F279" s="14" t="s">
        <v>117</v>
      </c>
      <c r="G279" s="14" t="s">
        <v>1215</v>
      </c>
      <c r="H279" s="18" t="s">
        <v>1216</v>
      </c>
      <c r="I279" s="25" t="s">
        <v>53</v>
      </c>
      <c r="J279" s="25">
        <v>98</v>
      </c>
      <c r="K279" s="25">
        <v>59</v>
      </c>
      <c r="L279" s="25">
        <v>39</v>
      </c>
      <c r="M279" s="25"/>
      <c r="N279" s="25"/>
      <c r="O279" s="25"/>
      <c r="P279" s="25"/>
      <c r="Q279" s="25"/>
      <c r="R279" s="25"/>
      <c r="S279" s="35">
        <v>44160</v>
      </c>
      <c r="T279" s="51">
        <v>44166</v>
      </c>
      <c r="U279" s="25"/>
      <c r="V279" s="25"/>
      <c r="W279" s="25" t="s">
        <v>1217</v>
      </c>
      <c r="X279" s="25" t="s">
        <v>1218</v>
      </c>
      <c r="Y279" s="25"/>
      <c r="Z279" s="25"/>
      <c r="AA279" s="25"/>
      <c r="AB279" s="25"/>
      <c r="AC279" s="25" t="str">
        <f>TRIM(StudentScore[[#This Row],[Student Email]])</f>
        <v>thanwarat.wog@student.mahidol.ac.th</v>
      </c>
    </row>
    <row r="280" spans="1:29" ht="27">
      <c r="A280" s="15">
        <v>274</v>
      </c>
      <c r="B280" s="16">
        <f t="shared" si="16"/>
        <v>62</v>
      </c>
      <c r="C280" s="27">
        <f t="shared" si="17"/>
        <v>2022</v>
      </c>
      <c r="D280" s="54"/>
      <c r="E280" s="17">
        <v>6288146</v>
      </c>
      <c r="F280" s="14" t="s">
        <v>38</v>
      </c>
      <c r="G280" s="14" t="s">
        <v>1219</v>
      </c>
      <c r="H280" s="18" t="s">
        <v>1220</v>
      </c>
      <c r="I280" s="25" t="s">
        <v>102</v>
      </c>
      <c r="J280" s="25">
        <v>76</v>
      </c>
      <c r="K280" s="25"/>
      <c r="L280" s="25"/>
      <c r="M280" s="25"/>
      <c r="N280" s="25"/>
      <c r="O280" s="25"/>
      <c r="P280" s="25"/>
      <c r="Q280" s="25"/>
      <c r="R280" s="25"/>
      <c r="S280" s="25"/>
      <c r="T280" s="51">
        <v>44531</v>
      </c>
      <c r="U280" s="25"/>
      <c r="V280" s="25"/>
      <c r="W280" s="25" t="s">
        <v>1221</v>
      </c>
      <c r="X280" s="25" t="s">
        <v>1222</v>
      </c>
      <c r="Y280" s="25"/>
      <c r="Z280" s="25"/>
      <c r="AA280" s="25"/>
      <c r="AB280" s="25"/>
      <c r="AC280" s="25" t="str">
        <f>TRIM(StudentScore[[#This Row],[Student Email]])</f>
        <v>pannathut.yut@student.mahidol.ac.th</v>
      </c>
    </row>
    <row r="281" spans="1:29" ht="27">
      <c r="A281" s="15">
        <v>275</v>
      </c>
      <c r="B281" s="16">
        <f t="shared" si="16"/>
        <v>62</v>
      </c>
      <c r="C281" s="27">
        <f t="shared" si="17"/>
        <v>2022</v>
      </c>
      <c r="D281" s="54"/>
      <c r="E281" s="17">
        <v>6288147</v>
      </c>
      <c r="F281" s="14" t="s">
        <v>117</v>
      </c>
      <c r="G281" s="14" t="s">
        <v>1223</v>
      </c>
      <c r="H281" s="18" t="s">
        <v>1224</v>
      </c>
      <c r="I281" s="25" t="s">
        <v>124</v>
      </c>
      <c r="J281" s="25">
        <v>5.5</v>
      </c>
      <c r="K281" s="25">
        <v>5.5</v>
      </c>
      <c r="L281" s="25">
        <v>5.5</v>
      </c>
      <c r="M281" s="25">
        <v>5</v>
      </c>
      <c r="N281" s="25">
        <v>5</v>
      </c>
      <c r="O281" s="25"/>
      <c r="P281" s="25"/>
      <c r="Q281" s="25"/>
      <c r="R281" s="25"/>
      <c r="S281" s="35">
        <v>43473</v>
      </c>
      <c r="T281" s="51">
        <v>43678</v>
      </c>
      <c r="U281" s="25"/>
      <c r="V281" s="25"/>
      <c r="W281" s="25" t="s">
        <v>1225</v>
      </c>
      <c r="X281" s="25" t="s">
        <v>1226</v>
      </c>
      <c r="Y281" s="25"/>
      <c r="Z281" s="25"/>
      <c r="AA281" s="25"/>
      <c r="AB281" s="25"/>
      <c r="AC281" s="25" t="str">
        <f>TRIM(StudentScore[[#This Row],[Student Email]])</f>
        <v>nawaphorn.sut@student.mahidol.ac.th</v>
      </c>
    </row>
    <row r="282" spans="1:29" ht="27">
      <c r="A282" s="15">
        <v>276</v>
      </c>
      <c r="B282" s="16">
        <f t="shared" si="16"/>
        <v>62</v>
      </c>
      <c r="C282" s="27">
        <f t="shared" si="17"/>
        <v>2022</v>
      </c>
      <c r="D282" s="54"/>
      <c r="E282" s="17">
        <v>6288148</v>
      </c>
      <c r="F282" s="14" t="s">
        <v>38</v>
      </c>
      <c r="G282" s="14" t="s">
        <v>1227</v>
      </c>
      <c r="H282" s="18" t="s">
        <v>1228</v>
      </c>
      <c r="I282" s="25" t="s">
        <v>102</v>
      </c>
      <c r="J282" s="25">
        <v>91</v>
      </c>
      <c r="K282" s="25"/>
      <c r="L282" s="25"/>
      <c r="M282" s="25"/>
      <c r="N282" s="25"/>
      <c r="O282" s="25"/>
      <c r="P282" s="25"/>
      <c r="Q282" s="25"/>
      <c r="R282" s="25"/>
      <c r="S282" s="25"/>
      <c r="T282" s="51">
        <v>44531</v>
      </c>
      <c r="U282" s="25"/>
      <c r="V282" s="25"/>
      <c r="W282" s="25" t="s">
        <v>1229</v>
      </c>
      <c r="X282" s="25" t="s">
        <v>1230</v>
      </c>
      <c r="Y282" s="25"/>
      <c r="Z282" s="25"/>
      <c r="AA282" s="25"/>
      <c r="AB282" s="25"/>
      <c r="AC282" s="25" t="str">
        <f>TRIM(StudentScore[[#This Row],[Student Email]])</f>
        <v>sivat.sup@student.mahidol.ac.th</v>
      </c>
    </row>
    <row r="283" spans="1:29" ht="27">
      <c r="A283" s="15">
        <v>277</v>
      </c>
      <c r="B283" s="16">
        <f t="shared" si="16"/>
        <v>62</v>
      </c>
      <c r="C283" s="27">
        <f t="shared" si="17"/>
        <v>2022</v>
      </c>
      <c r="D283" s="54"/>
      <c r="E283" s="17">
        <v>6288149</v>
      </c>
      <c r="F283" s="14" t="s">
        <v>38</v>
      </c>
      <c r="G283" s="14" t="s">
        <v>1231</v>
      </c>
      <c r="H283" s="18" t="s">
        <v>1232</v>
      </c>
      <c r="I283" s="25" t="s">
        <v>48</v>
      </c>
      <c r="J283" s="25">
        <v>795</v>
      </c>
      <c r="K283" s="25">
        <v>405</v>
      </c>
      <c r="L283" s="25">
        <v>390</v>
      </c>
      <c r="M283" s="25"/>
      <c r="N283" s="25"/>
      <c r="O283" s="25"/>
      <c r="P283" s="25"/>
      <c r="Q283" s="25"/>
      <c r="R283" s="25"/>
      <c r="S283" s="26">
        <v>45063</v>
      </c>
      <c r="T283" s="35">
        <v>45077</v>
      </c>
      <c r="U283" s="25"/>
      <c r="V283" s="25" t="s">
        <v>688</v>
      </c>
      <c r="W283" s="25" t="s">
        <v>1233</v>
      </c>
      <c r="X283" s="25" t="s">
        <v>1234</v>
      </c>
      <c r="Y283" s="42">
        <v>45077.387789351851</v>
      </c>
      <c r="Z283" s="25" t="s">
        <v>1235</v>
      </c>
      <c r="AA283" s="25"/>
      <c r="AB283" s="25"/>
      <c r="AC283" s="25" t="str">
        <f>TRIM(StudentScore[[#This Row],[Student Email]])</f>
        <v>chanon.tag@student.mahidol.ac.th</v>
      </c>
    </row>
    <row r="284" spans="1:29" ht="27">
      <c r="A284" s="15">
        <v>278</v>
      </c>
      <c r="B284" s="16">
        <f t="shared" si="16"/>
        <v>62</v>
      </c>
      <c r="C284" s="27">
        <f t="shared" si="17"/>
        <v>2022</v>
      </c>
      <c r="D284" s="54"/>
      <c r="E284" s="17">
        <v>6288150</v>
      </c>
      <c r="F284" s="14" t="s">
        <v>117</v>
      </c>
      <c r="G284" s="14" t="s">
        <v>1236</v>
      </c>
      <c r="H284" s="18" t="s">
        <v>1237</v>
      </c>
      <c r="I284" s="25" t="s">
        <v>48</v>
      </c>
      <c r="J284" s="25">
        <v>690</v>
      </c>
      <c r="K284" s="25">
        <v>410</v>
      </c>
      <c r="L284" s="25">
        <v>280</v>
      </c>
      <c r="M284" s="25"/>
      <c r="N284" s="25"/>
      <c r="O284" s="25"/>
      <c r="P284" s="25"/>
      <c r="Q284" s="25"/>
      <c r="R284" s="25"/>
      <c r="S284" s="35">
        <v>44747</v>
      </c>
      <c r="T284" s="51">
        <v>44774</v>
      </c>
      <c r="U284" s="25"/>
      <c r="V284" s="25"/>
      <c r="W284" s="25" t="s">
        <v>1238</v>
      </c>
      <c r="X284" s="25" t="s">
        <v>1239</v>
      </c>
      <c r="Y284" s="25"/>
      <c r="Z284" s="25"/>
      <c r="AA284" s="25"/>
      <c r="AB284" s="25"/>
      <c r="AC284" s="25" t="str">
        <f>TRIM(StudentScore[[#This Row],[Student Email]])</f>
        <v>nichawee.tre@student.mahidol.ac.th</v>
      </c>
    </row>
    <row r="285" spans="1:29" ht="27">
      <c r="A285" s="15">
        <v>279</v>
      </c>
      <c r="B285" s="16">
        <f t="shared" si="16"/>
        <v>62</v>
      </c>
      <c r="C285" s="27">
        <f t="shared" si="17"/>
        <v>2022</v>
      </c>
      <c r="D285" s="54"/>
      <c r="E285" s="17">
        <v>6288151</v>
      </c>
      <c r="F285" s="14" t="s">
        <v>38</v>
      </c>
      <c r="G285" s="14" t="s">
        <v>1240</v>
      </c>
      <c r="H285" s="18" t="s">
        <v>1241</v>
      </c>
      <c r="I285" s="25" t="s">
        <v>102</v>
      </c>
      <c r="J285" s="25">
        <v>77</v>
      </c>
      <c r="K285" s="25"/>
      <c r="L285" s="25"/>
      <c r="M285" s="25"/>
      <c r="N285" s="25"/>
      <c r="O285" s="25"/>
      <c r="P285" s="25"/>
      <c r="Q285" s="25"/>
      <c r="R285" s="25"/>
      <c r="S285" s="25"/>
      <c r="T285" s="51">
        <v>44531</v>
      </c>
      <c r="U285" s="25"/>
      <c r="V285" s="25"/>
      <c r="W285" s="25" t="s">
        <v>1242</v>
      </c>
      <c r="X285" s="25" t="s">
        <v>1243</v>
      </c>
      <c r="Y285" s="25"/>
      <c r="Z285" s="25"/>
      <c r="AA285" s="25"/>
      <c r="AB285" s="25"/>
      <c r="AC285" s="25" t="str">
        <f>TRIM(StudentScore[[#This Row],[Student Email]])</f>
        <v>kittipoj.tun@student.mahidol.ac.th</v>
      </c>
    </row>
    <row r="286" spans="1:29" ht="27">
      <c r="A286" s="15">
        <v>280</v>
      </c>
      <c r="B286" s="16">
        <f t="shared" si="16"/>
        <v>62</v>
      </c>
      <c r="C286" s="27">
        <f t="shared" si="17"/>
        <v>2022</v>
      </c>
      <c r="D286" s="54"/>
      <c r="E286" s="17">
        <v>6288152</v>
      </c>
      <c r="F286" s="14" t="s">
        <v>117</v>
      </c>
      <c r="G286" s="14" t="s">
        <v>1244</v>
      </c>
      <c r="H286" s="18" t="s">
        <v>1245</v>
      </c>
      <c r="I286" s="25" t="s">
        <v>102</v>
      </c>
      <c r="J286" s="25">
        <v>81</v>
      </c>
      <c r="K286" s="25"/>
      <c r="L286" s="25"/>
      <c r="M286" s="25"/>
      <c r="N286" s="25"/>
      <c r="O286" s="25"/>
      <c r="P286" s="25"/>
      <c r="Q286" s="25"/>
      <c r="R286" s="25"/>
      <c r="S286" s="25"/>
      <c r="T286" s="51">
        <v>44531</v>
      </c>
      <c r="U286" s="25"/>
      <c r="V286" s="25"/>
      <c r="W286" s="25" t="s">
        <v>1246</v>
      </c>
      <c r="X286" s="25" t="s">
        <v>1247</v>
      </c>
      <c r="Y286" s="25"/>
      <c r="Z286" s="25"/>
      <c r="AA286" s="25"/>
      <c r="AB286" s="25"/>
      <c r="AC286" s="25" t="str">
        <f>TRIM(StudentScore[[#This Row],[Student Email]])</f>
        <v>chonnikarn.wav@student.mahidol.ac.th</v>
      </c>
    </row>
    <row r="287" spans="1:29" ht="27">
      <c r="A287" s="15">
        <v>281</v>
      </c>
      <c r="B287" s="16">
        <f t="shared" si="16"/>
        <v>62</v>
      </c>
      <c r="C287" s="27">
        <f t="shared" si="17"/>
        <v>2022</v>
      </c>
      <c r="D287" s="54"/>
      <c r="E287" s="19">
        <v>6288153</v>
      </c>
      <c r="F287" s="20" t="s">
        <v>117</v>
      </c>
      <c r="G287" s="14" t="s">
        <v>1248</v>
      </c>
      <c r="H287" s="18" t="s">
        <v>1249</v>
      </c>
      <c r="I287" s="25" t="s">
        <v>53</v>
      </c>
      <c r="J287" s="25">
        <v>95</v>
      </c>
      <c r="K287" s="25"/>
      <c r="L287" s="25"/>
      <c r="M287" s="25"/>
      <c r="N287" s="25"/>
      <c r="O287" s="25"/>
      <c r="P287" s="25"/>
      <c r="Q287" s="25"/>
      <c r="R287" s="25"/>
      <c r="S287" s="35">
        <v>44139</v>
      </c>
      <c r="T287" s="51">
        <v>44378</v>
      </c>
      <c r="U287" s="25"/>
      <c r="V287" s="25"/>
      <c r="W287" s="25" t="s">
        <v>1250</v>
      </c>
      <c r="X287" s="25" t="s">
        <v>1251</v>
      </c>
      <c r="Y287" s="25"/>
      <c r="Z287" s="25"/>
      <c r="AA287" s="25"/>
      <c r="AB287" s="25"/>
      <c r="AC287" s="25" t="str">
        <f>TRIM(StudentScore[[#This Row],[Student Email]])</f>
        <v>suchanya.kae@student.mahidol.ac.th</v>
      </c>
    </row>
    <row r="288" spans="1:29" ht="27">
      <c r="A288" s="15">
        <v>282</v>
      </c>
      <c r="B288" s="16">
        <f t="shared" si="16"/>
        <v>62</v>
      </c>
      <c r="C288" s="27">
        <f t="shared" si="17"/>
        <v>2022</v>
      </c>
      <c r="D288" s="54"/>
      <c r="E288" s="21">
        <v>6288154</v>
      </c>
      <c r="F288" s="22" t="s">
        <v>117</v>
      </c>
      <c r="G288" s="14" t="s">
        <v>1252</v>
      </c>
      <c r="H288" s="18" t="s">
        <v>1253</v>
      </c>
      <c r="I288" s="25" t="s">
        <v>102</v>
      </c>
      <c r="J288" s="25">
        <v>89</v>
      </c>
      <c r="K288" s="25"/>
      <c r="L288" s="25"/>
      <c r="M288" s="25"/>
      <c r="N288" s="25"/>
      <c r="O288" s="25"/>
      <c r="P288" s="25"/>
      <c r="Q288" s="25"/>
      <c r="R288" s="25"/>
      <c r="S288" s="25"/>
      <c r="T288" s="51">
        <v>44531</v>
      </c>
      <c r="U288" s="25"/>
      <c r="V288" s="25"/>
      <c r="W288" s="25" t="s">
        <v>1254</v>
      </c>
      <c r="X288" s="25" t="s">
        <v>1255</v>
      </c>
      <c r="Y288" s="25"/>
      <c r="Z288" s="25"/>
      <c r="AA288" s="25"/>
      <c r="AB288" s="25"/>
      <c r="AC288" s="25" t="str">
        <f>TRIM(StudentScore[[#This Row],[Student Email]])</f>
        <v>suchanun.sat@student.mahidol.ac.th</v>
      </c>
    </row>
    <row r="289" spans="1:29" ht="27">
      <c r="A289" s="15">
        <v>283</v>
      </c>
      <c r="B289" s="16">
        <f t="shared" si="16"/>
        <v>62</v>
      </c>
      <c r="C289" s="27">
        <f t="shared" si="17"/>
        <v>2022</v>
      </c>
      <c r="D289" s="54"/>
      <c r="E289" s="17">
        <v>6288155</v>
      </c>
      <c r="F289" s="14" t="s">
        <v>117</v>
      </c>
      <c r="G289" s="14" t="s">
        <v>1256</v>
      </c>
      <c r="H289" s="18" t="s">
        <v>1257</v>
      </c>
      <c r="I289" s="25" t="s">
        <v>48</v>
      </c>
      <c r="J289" s="25">
        <v>650</v>
      </c>
      <c r="K289" s="25">
        <v>335</v>
      </c>
      <c r="L289" s="25">
        <v>315</v>
      </c>
      <c r="M289" s="25"/>
      <c r="N289" s="25"/>
      <c r="O289" s="25"/>
      <c r="P289" s="25"/>
      <c r="Q289" s="25"/>
      <c r="R289" s="25"/>
      <c r="S289" s="26">
        <v>44853</v>
      </c>
      <c r="T289" s="26">
        <v>44868</v>
      </c>
      <c r="U289" s="25"/>
      <c r="V289" s="25" t="s">
        <v>952</v>
      </c>
      <c r="W289" s="25" t="s">
        <v>1258</v>
      </c>
      <c r="X289" s="25" t="s">
        <v>1259</v>
      </c>
      <c r="Y289" s="42">
        <v>44868.506701388891</v>
      </c>
      <c r="Z289" s="25" t="s">
        <v>1260</v>
      </c>
      <c r="AA289" s="25"/>
      <c r="AB289" s="25"/>
      <c r="AC289" s="25" t="str">
        <f>TRIM(StudentScore[[#This Row],[Student Email]])</f>
        <v>supansa.sae@student.mahidol.ac.th</v>
      </c>
    </row>
    <row r="290" spans="1:29" ht="27">
      <c r="A290" s="15">
        <v>284</v>
      </c>
      <c r="B290" s="16">
        <f t="shared" si="16"/>
        <v>62</v>
      </c>
      <c r="C290" s="27">
        <f t="shared" si="17"/>
        <v>2022</v>
      </c>
      <c r="D290" s="54"/>
      <c r="E290" s="17">
        <v>6288156</v>
      </c>
      <c r="F290" s="14" t="s">
        <v>117</v>
      </c>
      <c r="G290" s="14" t="s">
        <v>1261</v>
      </c>
      <c r="H290" s="18" t="s">
        <v>1262</v>
      </c>
      <c r="I290" s="25" t="s">
        <v>124</v>
      </c>
      <c r="J290" s="25">
        <v>7</v>
      </c>
      <c r="K290" s="25">
        <v>8</v>
      </c>
      <c r="L290" s="25">
        <v>7</v>
      </c>
      <c r="M290" s="25">
        <v>6</v>
      </c>
      <c r="N290" s="25">
        <v>6</v>
      </c>
      <c r="O290" s="25"/>
      <c r="P290" s="25"/>
      <c r="Q290" s="25"/>
      <c r="R290" s="25"/>
      <c r="S290" s="35">
        <v>43407</v>
      </c>
      <c r="T290" s="51">
        <v>43678</v>
      </c>
      <c r="U290" s="25"/>
      <c r="V290" s="25"/>
      <c r="W290" s="25" t="s">
        <v>1263</v>
      </c>
      <c r="X290" s="25" t="s">
        <v>1264</v>
      </c>
      <c r="Y290" s="25"/>
      <c r="Z290" s="25"/>
      <c r="AA290" s="25"/>
      <c r="AB290" s="25"/>
      <c r="AC290" s="25" t="str">
        <f>TRIM(StudentScore[[#This Row],[Student Email]])</f>
        <v>sirada.vit@student.mahidol.ac.th</v>
      </c>
    </row>
    <row r="291" spans="1:29" ht="27">
      <c r="A291" s="15">
        <v>285</v>
      </c>
      <c r="B291" s="16">
        <f t="shared" si="16"/>
        <v>62</v>
      </c>
      <c r="C291" s="27">
        <f t="shared" si="17"/>
        <v>2022</v>
      </c>
      <c r="D291" s="54"/>
      <c r="E291" s="17">
        <v>6288157</v>
      </c>
      <c r="F291" s="14" t="s">
        <v>38</v>
      </c>
      <c r="G291" s="14" t="s">
        <v>821</v>
      </c>
      <c r="H291" s="18" t="s">
        <v>1265</v>
      </c>
      <c r="I291" s="25" t="s">
        <v>102</v>
      </c>
      <c r="J291" s="25">
        <v>92</v>
      </c>
      <c r="K291" s="25"/>
      <c r="L291" s="25"/>
      <c r="M291" s="25"/>
      <c r="N291" s="25"/>
      <c r="O291" s="25"/>
      <c r="P291" s="25"/>
      <c r="Q291" s="25"/>
      <c r="R291" s="25"/>
      <c r="S291" s="25"/>
      <c r="T291" s="51">
        <v>44531</v>
      </c>
      <c r="U291" s="25"/>
      <c r="V291" s="25"/>
      <c r="W291" s="25" t="s">
        <v>1266</v>
      </c>
      <c r="X291" s="25" t="s">
        <v>1267</v>
      </c>
      <c r="Y291" s="25"/>
      <c r="Z291" s="25"/>
      <c r="AA291" s="25"/>
      <c r="AB291" s="25"/>
      <c r="AC291" s="25" t="str">
        <f>TRIM(StudentScore[[#This Row],[Student Email]])</f>
        <v>eakdanai.tan@student.mahidol.ac.th</v>
      </c>
    </row>
    <row r="292" spans="1:29" ht="27">
      <c r="A292" s="15">
        <v>286</v>
      </c>
      <c r="B292" s="16">
        <f t="shared" si="16"/>
        <v>62</v>
      </c>
      <c r="C292" s="27">
        <f t="shared" si="17"/>
        <v>2022</v>
      </c>
      <c r="D292" s="54"/>
      <c r="E292" s="17">
        <v>6288158</v>
      </c>
      <c r="F292" s="14" t="s">
        <v>38</v>
      </c>
      <c r="G292" s="14" t="s">
        <v>1268</v>
      </c>
      <c r="H292" s="18" t="s">
        <v>1269</v>
      </c>
      <c r="I292" s="25" t="s">
        <v>102</v>
      </c>
      <c r="J292" s="25">
        <v>75</v>
      </c>
      <c r="K292" s="25"/>
      <c r="L292" s="25"/>
      <c r="M292" s="25"/>
      <c r="N292" s="25"/>
      <c r="O292" s="25"/>
      <c r="P292" s="25"/>
      <c r="Q292" s="25"/>
      <c r="R292" s="25"/>
      <c r="S292" s="25"/>
      <c r="T292" s="51">
        <v>44531</v>
      </c>
      <c r="U292" s="25"/>
      <c r="V292" s="25"/>
      <c r="W292" s="25" t="s">
        <v>1270</v>
      </c>
      <c r="X292" s="25" t="s">
        <v>1271</v>
      </c>
      <c r="Y292" s="25"/>
      <c r="Z292" s="25"/>
      <c r="AA292" s="25"/>
      <c r="AB292" s="25"/>
      <c r="AC292" s="25" t="str">
        <f>TRIM(StudentScore[[#This Row],[Student Email]])</f>
        <v>trisiri.cha@student.mahidol.ac.th</v>
      </c>
    </row>
    <row r="293" spans="1:29" ht="27">
      <c r="A293" s="15">
        <v>287</v>
      </c>
      <c r="B293" s="16">
        <f t="shared" si="16"/>
        <v>62</v>
      </c>
      <c r="C293" s="27">
        <f t="shared" si="17"/>
        <v>2022</v>
      </c>
      <c r="D293" s="54"/>
      <c r="E293" s="17">
        <v>6288159</v>
      </c>
      <c r="F293" s="14" t="s">
        <v>38</v>
      </c>
      <c r="G293" s="14" t="s">
        <v>1272</v>
      </c>
      <c r="H293" s="18" t="s">
        <v>1273</v>
      </c>
      <c r="I293" s="25" t="s">
        <v>244</v>
      </c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 t="s">
        <v>1274</v>
      </c>
      <c r="Y293" s="25"/>
      <c r="Z293" s="25"/>
      <c r="AA293" s="25"/>
      <c r="AB293" s="25"/>
      <c r="AC293" s="25" t="str">
        <f>TRIM(StudentScore[[#This Row],[Student Email]])</f>
        <v>kanoksing.cha@student.mahidol.ac.th</v>
      </c>
    </row>
    <row r="294" spans="1:29" ht="27">
      <c r="A294" s="15">
        <v>288</v>
      </c>
      <c r="B294" s="16">
        <f t="shared" si="16"/>
        <v>62</v>
      </c>
      <c r="C294" s="27">
        <f t="shared" si="17"/>
        <v>2022</v>
      </c>
      <c r="D294" s="54"/>
      <c r="E294" s="17">
        <v>6288160</v>
      </c>
      <c r="F294" s="14" t="s">
        <v>38</v>
      </c>
      <c r="G294" s="14" t="s">
        <v>1275</v>
      </c>
      <c r="H294" s="18" t="s">
        <v>1276</v>
      </c>
      <c r="I294" s="25" t="s">
        <v>102</v>
      </c>
      <c r="J294" s="25">
        <v>87</v>
      </c>
      <c r="K294" s="25"/>
      <c r="L294" s="25"/>
      <c r="M294" s="25"/>
      <c r="N294" s="25"/>
      <c r="O294" s="25"/>
      <c r="P294" s="25"/>
      <c r="Q294" s="25"/>
      <c r="R294" s="25"/>
      <c r="S294" s="25"/>
      <c r="T294" s="51">
        <v>44531</v>
      </c>
      <c r="U294" s="25"/>
      <c r="V294" s="25"/>
      <c r="W294" s="25" t="s">
        <v>1277</v>
      </c>
      <c r="X294" s="25" t="s">
        <v>1278</v>
      </c>
      <c r="Y294" s="25"/>
      <c r="Z294" s="25"/>
      <c r="AA294" s="25"/>
      <c r="AB294" s="25"/>
      <c r="AC294" s="25" t="str">
        <f>TRIM(StudentScore[[#This Row],[Student Email]])</f>
        <v>kantapong.mat@student.mahidol.ac.th</v>
      </c>
    </row>
    <row r="295" spans="1:29" ht="27">
      <c r="A295" s="15">
        <v>289</v>
      </c>
      <c r="B295" s="16">
        <f t="shared" si="16"/>
        <v>62</v>
      </c>
      <c r="C295" s="27">
        <f t="shared" si="17"/>
        <v>2022</v>
      </c>
      <c r="D295" s="54"/>
      <c r="E295" s="17">
        <v>6288161</v>
      </c>
      <c r="F295" s="14" t="s">
        <v>38</v>
      </c>
      <c r="G295" s="14" t="s">
        <v>1279</v>
      </c>
      <c r="H295" s="18" t="s">
        <v>1280</v>
      </c>
      <c r="I295" s="25" t="s">
        <v>53</v>
      </c>
      <c r="J295" s="25">
        <v>109</v>
      </c>
      <c r="K295" s="25">
        <v>66</v>
      </c>
      <c r="L295" s="25">
        <v>43</v>
      </c>
      <c r="M295" s="25"/>
      <c r="N295" s="25"/>
      <c r="O295" s="25"/>
      <c r="P295" s="25"/>
      <c r="Q295" s="25"/>
      <c r="R295" s="25"/>
      <c r="S295" s="26">
        <v>44636</v>
      </c>
      <c r="T295" s="35">
        <v>44669</v>
      </c>
      <c r="U295" s="25"/>
      <c r="V295" s="25"/>
      <c r="W295" s="25" t="s">
        <v>1281</v>
      </c>
      <c r="X295" s="25" t="s">
        <v>1282</v>
      </c>
      <c r="Y295" s="42">
        <v>44669.634398148148</v>
      </c>
      <c r="Z295" s="25" t="s">
        <v>1283</v>
      </c>
      <c r="AA295" s="25"/>
      <c r="AB295" s="25"/>
      <c r="AC295" s="25" t="str">
        <f>TRIM(StudentScore[[#This Row],[Student Email]])</f>
        <v>kanisorn.san@student.mahidol.ac.th</v>
      </c>
    </row>
    <row r="296" spans="1:29" ht="27">
      <c r="A296" s="15">
        <v>290</v>
      </c>
      <c r="B296" s="16">
        <f t="shared" si="16"/>
        <v>62</v>
      </c>
      <c r="C296" s="27">
        <f t="shared" si="17"/>
        <v>2022</v>
      </c>
      <c r="D296" s="54"/>
      <c r="E296" s="17">
        <v>6288162</v>
      </c>
      <c r="F296" s="14" t="s">
        <v>38</v>
      </c>
      <c r="G296" s="14" t="s">
        <v>1284</v>
      </c>
      <c r="H296" s="18" t="s">
        <v>1285</v>
      </c>
      <c r="I296" s="25" t="s">
        <v>244</v>
      </c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 t="s">
        <v>1286</v>
      </c>
      <c r="Y296" s="25"/>
      <c r="Z296" s="25"/>
      <c r="AA296" s="25"/>
      <c r="AB296" s="25"/>
      <c r="AC296" s="25" t="str">
        <f>TRIM(StudentScore[[#This Row],[Student Email]])</f>
        <v>khimhan.bun@student.mahidol.ac.th</v>
      </c>
    </row>
    <row r="297" spans="1:29" ht="27">
      <c r="A297" s="15">
        <v>291</v>
      </c>
      <c r="B297" s="16">
        <f t="shared" si="16"/>
        <v>62</v>
      </c>
      <c r="C297" s="27">
        <f t="shared" si="17"/>
        <v>2022</v>
      </c>
      <c r="D297" s="54"/>
      <c r="E297" s="17">
        <v>6288163</v>
      </c>
      <c r="F297" s="14" t="s">
        <v>38</v>
      </c>
      <c r="G297" s="14" t="s">
        <v>1287</v>
      </c>
      <c r="H297" s="18" t="s">
        <v>1288</v>
      </c>
      <c r="I297" s="25" t="s">
        <v>102</v>
      </c>
      <c r="J297" s="25">
        <v>98</v>
      </c>
      <c r="K297" s="25"/>
      <c r="L297" s="25"/>
      <c r="M297" s="25"/>
      <c r="N297" s="25"/>
      <c r="O297" s="25"/>
      <c r="P297" s="25"/>
      <c r="Q297" s="25"/>
      <c r="R297" s="25"/>
      <c r="S297" s="35">
        <v>45021</v>
      </c>
      <c r="T297" s="35">
        <v>45034</v>
      </c>
      <c r="U297" s="25"/>
      <c r="V297" s="25"/>
      <c r="W297" s="25" t="s">
        <v>1289</v>
      </c>
      <c r="X297" s="25" t="s">
        <v>1290</v>
      </c>
      <c r="Y297" s="25"/>
      <c r="Z297" s="25"/>
      <c r="AA297" s="25"/>
      <c r="AB297" s="25"/>
      <c r="AC297" s="25" t="str">
        <f>TRIM(StudentScore[[#This Row],[Student Email]])</f>
        <v>jiramed.jam@student.mahidol.ac.th</v>
      </c>
    </row>
    <row r="298" spans="1:29" ht="27">
      <c r="A298" s="15">
        <v>292</v>
      </c>
      <c r="B298" s="16">
        <f t="shared" si="16"/>
        <v>62</v>
      </c>
      <c r="C298" s="27">
        <f t="shared" si="17"/>
        <v>2022</v>
      </c>
      <c r="D298" s="54"/>
      <c r="E298" s="17">
        <v>6288164</v>
      </c>
      <c r="F298" s="14" t="s">
        <v>38</v>
      </c>
      <c r="G298" s="14" t="s">
        <v>1291</v>
      </c>
      <c r="H298" s="18" t="s">
        <v>1292</v>
      </c>
      <c r="I298" s="25" t="s">
        <v>102</v>
      </c>
      <c r="J298" s="25">
        <v>76</v>
      </c>
      <c r="K298" s="25"/>
      <c r="L298" s="25"/>
      <c r="M298" s="25"/>
      <c r="N298" s="25"/>
      <c r="O298" s="25"/>
      <c r="P298" s="25"/>
      <c r="Q298" s="25"/>
      <c r="R298" s="25"/>
      <c r="S298" s="35">
        <v>45021</v>
      </c>
      <c r="T298" s="35">
        <v>45034</v>
      </c>
      <c r="U298" s="25"/>
      <c r="V298" s="25"/>
      <c r="W298" s="25" t="s">
        <v>1293</v>
      </c>
      <c r="X298" s="25" t="s">
        <v>1294</v>
      </c>
      <c r="Y298" s="25"/>
      <c r="Z298" s="25"/>
      <c r="AA298" s="25"/>
      <c r="AB298" s="25"/>
      <c r="AC298" s="25" t="str">
        <f>TRIM(StudentScore[[#This Row],[Student Email]])</f>
        <v>jirayus.sun@student.mahidol.ac.th</v>
      </c>
    </row>
    <row r="299" spans="1:29" ht="27">
      <c r="A299" s="15">
        <v>293</v>
      </c>
      <c r="B299" s="16">
        <f t="shared" si="16"/>
        <v>62</v>
      </c>
      <c r="C299" s="27">
        <f t="shared" si="17"/>
        <v>2022</v>
      </c>
      <c r="D299" s="54"/>
      <c r="E299" s="17">
        <v>6288165</v>
      </c>
      <c r="F299" s="14" t="s">
        <v>117</v>
      </c>
      <c r="G299" s="14" t="s">
        <v>1295</v>
      </c>
      <c r="H299" s="18" t="s">
        <v>1296</v>
      </c>
      <c r="I299" s="25" t="s">
        <v>244</v>
      </c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 t="s">
        <v>1297</v>
      </c>
      <c r="Y299" s="25"/>
      <c r="Z299" s="25"/>
      <c r="AA299" s="25"/>
      <c r="AB299" s="25"/>
      <c r="AC299" s="25" t="str">
        <f>TRIM(StudentScore[[#This Row],[Student Email]])</f>
        <v>jiwasa.som@student.mahidol.ac.th</v>
      </c>
    </row>
    <row r="300" spans="1:29" ht="27">
      <c r="A300" s="15">
        <v>294</v>
      </c>
      <c r="B300" s="16">
        <f t="shared" si="16"/>
        <v>62</v>
      </c>
      <c r="C300" s="27">
        <f t="shared" si="17"/>
        <v>2022</v>
      </c>
      <c r="D300" s="54"/>
      <c r="E300" s="17">
        <v>6288166</v>
      </c>
      <c r="F300" s="14" t="s">
        <v>38</v>
      </c>
      <c r="G300" s="14" t="s">
        <v>979</v>
      </c>
      <c r="H300" s="18" t="s">
        <v>1298</v>
      </c>
      <c r="I300" s="25" t="s">
        <v>102</v>
      </c>
      <c r="J300" s="25">
        <v>78</v>
      </c>
      <c r="K300" s="25"/>
      <c r="L300" s="25"/>
      <c r="M300" s="25"/>
      <c r="N300" s="25"/>
      <c r="O300" s="25"/>
      <c r="P300" s="25"/>
      <c r="Q300" s="25"/>
      <c r="R300" s="25"/>
      <c r="S300" s="25"/>
      <c r="T300" s="35">
        <v>44935</v>
      </c>
      <c r="U300" s="25"/>
      <c r="V300" s="25"/>
      <c r="W300" s="25" t="s">
        <v>1299</v>
      </c>
      <c r="X300" s="25" t="s">
        <v>1300</v>
      </c>
      <c r="Y300" s="25"/>
      <c r="Z300" s="25"/>
      <c r="AA300" s="25"/>
      <c r="AB300" s="25"/>
      <c r="AC300" s="25" t="str">
        <f>TRIM(StudentScore[[#This Row],[Student Email]])</f>
        <v>chatchai.hoj@student.mahidol.ac.th</v>
      </c>
    </row>
    <row r="301" spans="1:29" ht="27">
      <c r="A301" s="15">
        <v>295</v>
      </c>
      <c r="B301" s="16">
        <f t="shared" si="16"/>
        <v>62</v>
      </c>
      <c r="C301" s="27">
        <f t="shared" si="17"/>
        <v>2022</v>
      </c>
      <c r="D301" s="54"/>
      <c r="E301" s="17">
        <v>6288167</v>
      </c>
      <c r="F301" s="14" t="s">
        <v>117</v>
      </c>
      <c r="G301" s="14" t="s">
        <v>1301</v>
      </c>
      <c r="H301" s="18" t="s">
        <v>1302</v>
      </c>
      <c r="I301" s="25" t="s">
        <v>102</v>
      </c>
      <c r="J301" s="25">
        <v>78</v>
      </c>
      <c r="K301" s="25"/>
      <c r="L301" s="25"/>
      <c r="M301" s="25"/>
      <c r="N301" s="25"/>
      <c r="O301" s="25"/>
      <c r="P301" s="25"/>
      <c r="Q301" s="25"/>
      <c r="R301" s="25"/>
      <c r="S301" s="25"/>
      <c r="T301" s="51">
        <v>44531</v>
      </c>
      <c r="U301" s="25"/>
      <c r="V301" s="25"/>
      <c r="W301" s="25" t="s">
        <v>1303</v>
      </c>
      <c r="X301" s="25" t="s">
        <v>1304</v>
      </c>
      <c r="Y301" s="25"/>
      <c r="Z301" s="25"/>
      <c r="AA301" s="25"/>
      <c r="AB301" s="25"/>
      <c r="AC301" s="25" t="str">
        <f>TRIM(StudentScore[[#This Row],[Student Email]])</f>
        <v>chitchaya.dua@student.mahidol.ac.th</v>
      </c>
    </row>
    <row r="302" spans="1:29" ht="27">
      <c r="A302" s="15">
        <v>296</v>
      </c>
      <c r="B302" s="16">
        <f t="shared" si="16"/>
        <v>62</v>
      </c>
      <c r="C302" s="27">
        <f t="shared" si="17"/>
        <v>2022</v>
      </c>
      <c r="D302" s="54"/>
      <c r="E302" s="17">
        <v>6288169</v>
      </c>
      <c r="F302" s="14" t="s">
        <v>38</v>
      </c>
      <c r="G302" s="14" t="s">
        <v>1305</v>
      </c>
      <c r="H302" s="18" t="s">
        <v>1306</v>
      </c>
      <c r="I302" s="25" t="s">
        <v>48</v>
      </c>
      <c r="J302" s="25">
        <v>800</v>
      </c>
      <c r="K302" s="25">
        <v>440</v>
      </c>
      <c r="L302" s="25">
        <v>360</v>
      </c>
      <c r="M302" s="25"/>
      <c r="N302" s="25"/>
      <c r="O302" s="25"/>
      <c r="P302" s="25"/>
      <c r="Q302" s="25"/>
      <c r="R302" s="25"/>
      <c r="S302" s="35">
        <v>44811</v>
      </c>
      <c r="T302" s="51">
        <v>44805</v>
      </c>
      <c r="U302" s="25"/>
      <c r="V302" s="25"/>
      <c r="W302" s="25" t="s">
        <v>1307</v>
      </c>
      <c r="X302" s="25" t="s">
        <v>1308</v>
      </c>
      <c r="Y302" s="25"/>
      <c r="Z302" s="25"/>
      <c r="AA302" s="25"/>
      <c r="AB302" s="25"/>
      <c r="AC302" s="25" t="str">
        <f>TRIM(StudentScore[[#This Row],[Student Email]])</f>
        <v>nutchanon.rag@student.mahidol.ac.th</v>
      </c>
    </row>
    <row r="303" spans="1:29" ht="27">
      <c r="A303" s="15">
        <v>297</v>
      </c>
      <c r="B303" s="16">
        <f t="shared" si="16"/>
        <v>62</v>
      </c>
      <c r="C303" s="27">
        <f t="shared" si="17"/>
        <v>2022</v>
      </c>
      <c r="D303" s="54"/>
      <c r="E303" s="17">
        <v>6288170</v>
      </c>
      <c r="F303" s="14" t="s">
        <v>117</v>
      </c>
      <c r="G303" s="14" t="s">
        <v>1309</v>
      </c>
      <c r="H303" s="18" t="s">
        <v>1310</v>
      </c>
      <c r="I303" s="25" t="s">
        <v>244</v>
      </c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 t="s">
        <v>1311</v>
      </c>
      <c r="Y303" s="25"/>
      <c r="Z303" s="25"/>
      <c r="AA303" s="25"/>
      <c r="AB303" s="25"/>
      <c r="AC303" s="25" t="str">
        <f>TRIM(StudentScore[[#This Row],[Student Email]])</f>
        <v>natnicha.tun@student.mahidol.ac.th</v>
      </c>
    </row>
    <row r="304" spans="1:29" ht="27">
      <c r="A304" s="15">
        <v>298</v>
      </c>
      <c r="B304" s="16">
        <f t="shared" si="16"/>
        <v>62</v>
      </c>
      <c r="C304" s="27">
        <f t="shared" si="17"/>
        <v>2022</v>
      </c>
      <c r="D304" s="54"/>
      <c r="E304" s="17">
        <v>6288171</v>
      </c>
      <c r="F304" s="14" t="s">
        <v>38</v>
      </c>
      <c r="G304" s="14" t="s">
        <v>1312</v>
      </c>
      <c r="H304" s="18" t="s">
        <v>1313</v>
      </c>
      <c r="I304" s="25" t="s">
        <v>244</v>
      </c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 t="s">
        <v>1314</v>
      </c>
      <c r="Y304" s="25"/>
      <c r="Z304" s="25"/>
      <c r="AA304" s="25"/>
      <c r="AB304" s="25"/>
      <c r="AC304" s="25" t="str">
        <f>TRIM(StudentScore[[#This Row],[Student Email]])</f>
        <v>nattapat.thn@student.mahidol.ac.th</v>
      </c>
    </row>
    <row r="305" spans="1:29" ht="27">
      <c r="A305" s="15">
        <v>299</v>
      </c>
      <c r="B305" s="16">
        <f t="shared" si="16"/>
        <v>62</v>
      </c>
      <c r="C305" s="27">
        <f t="shared" si="17"/>
        <v>2022</v>
      </c>
      <c r="D305" s="54"/>
      <c r="E305" s="17">
        <v>6288172</v>
      </c>
      <c r="F305" s="14" t="s">
        <v>117</v>
      </c>
      <c r="G305" s="14" t="s">
        <v>1315</v>
      </c>
      <c r="H305" s="18" t="s">
        <v>1316</v>
      </c>
      <c r="I305" s="25" t="s">
        <v>48</v>
      </c>
      <c r="J305" s="25">
        <v>685</v>
      </c>
      <c r="K305" s="25">
        <v>395</v>
      </c>
      <c r="L305" s="25">
        <v>290</v>
      </c>
      <c r="M305" s="25"/>
      <c r="N305" s="25"/>
      <c r="O305" s="25"/>
      <c r="P305" s="25"/>
      <c r="Q305" s="25"/>
      <c r="R305" s="25"/>
      <c r="S305" s="25"/>
      <c r="T305" s="35">
        <v>44811</v>
      </c>
      <c r="U305" s="51">
        <v>44805</v>
      </c>
      <c r="V305" s="25"/>
      <c r="W305" s="25" t="s">
        <v>1317</v>
      </c>
      <c r="X305" s="25" t="s">
        <v>1318</v>
      </c>
      <c r="Y305" s="25"/>
      <c r="Z305" s="25"/>
      <c r="AA305" s="25"/>
      <c r="AB305" s="25"/>
      <c r="AC305" s="25" t="str">
        <f>TRIM(StudentScore[[#This Row],[Student Email]])</f>
        <v>natpichsinee.put@student.mahidol.ac.th</v>
      </c>
    </row>
    <row r="306" spans="1:29" ht="27">
      <c r="A306" s="15">
        <v>300</v>
      </c>
      <c r="B306" s="16">
        <f t="shared" si="16"/>
        <v>62</v>
      </c>
      <c r="C306" s="27">
        <f t="shared" si="17"/>
        <v>2022</v>
      </c>
      <c r="D306" s="54"/>
      <c r="E306" s="17">
        <v>6288175</v>
      </c>
      <c r="F306" s="14" t="s">
        <v>117</v>
      </c>
      <c r="G306" s="14" t="s">
        <v>1319</v>
      </c>
      <c r="H306" s="18" t="s">
        <v>1320</v>
      </c>
      <c r="I306" s="25" t="s">
        <v>102</v>
      </c>
      <c r="J306" s="25">
        <v>75</v>
      </c>
      <c r="K306" s="25"/>
      <c r="L306" s="25"/>
      <c r="M306" s="25"/>
      <c r="N306" s="25"/>
      <c r="O306" s="25"/>
      <c r="P306" s="25"/>
      <c r="Q306" s="25"/>
      <c r="R306" s="25"/>
      <c r="S306" s="25"/>
      <c r="T306" s="51">
        <v>44682</v>
      </c>
      <c r="U306" s="25"/>
      <c r="V306" s="25"/>
      <c r="W306" s="25" t="s">
        <v>1321</v>
      </c>
      <c r="X306" s="25" t="s">
        <v>1322</v>
      </c>
      <c r="Y306" s="25"/>
      <c r="Z306" s="25"/>
      <c r="AA306" s="25"/>
      <c r="AB306" s="25"/>
      <c r="AC306" s="25" t="str">
        <f>TRIM(StudentScore[[#This Row],[Student Email]])</f>
        <v>nichapat.kom@student.mahidol.ac.th</v>
      </c>
    </row>
    <row r="307" spans="1:29" ht="27">
      <c r="A307" s="15">
        <v>301</v>
      </c>
      <c r="B307" s="16">
        <f t="shared" si="16"/>
        <v>62</v>
      </c>
      <c r="C307" s="27">
        <f t="shared" si="17"/>
        <v>2022</v>
      </c>
      <c r="D307" s="54"/>
      <c r="E307" s="17">
        <v>6288176</v>
      </c>
      <c r="F307" s="14" t="s">
        <v>38</v>
      </c>
      <c r="G307" s="14" t="s">
        <v>1323</v>
      </c>
      <c r="H307" s="18" t="s">
        <v>1324</v>
      </c>
      <c r="I307" s="25" t="s">
        <v>244</v>
      </c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 t="s">
        <v>1325</v>
      </c>
      <c r="X307" s="25" t="s">
        <v>1326</v>
      </c>
      <c r="Y307" s="25"/>
      <c r="Z307" s="25"/>
      <c r="AA307" s="25"/>
      <c r="AB307" s="25"/>
      <c r="AC307" s="25" t="str">
        <f>TRIM(StudentScore[[#This Row],[Student Email]])</f>
        <v>tawanchai.man@student.mahidol.ac.th</v>
      </c>
    </row>
    <row r="308" spans="1:29" ht="27">
      <c r="A308" s="15">
        <v>302</v>
      </c>
      <c r="B308" s="16">
        <f t="shared" si="16"/>
        <v>62</v>
      </c>
      <c r="C308" s="27">
        <f t="shared" si="17"/>
        <v>2022</v>
      </c>
      <c r="D308" s="54"/>
      <c r="E308" s="17">
        <v>6288177</v>
      </c>
      <c r="F308" s="14" t="s">
        <v>117</v>
      </c>
      <c r="G308" s="14" t="s">
        <v>1327</v>
      </c>
      <c r="H308" s="18" t="s">
        <v>1328</v>
      </c>
      <c r="I308" s="25" t="s">
        <v>102</v>
      </c>
      <c r="J308" s="25">
        <v>97</v>
      </c>
      <c r="K308" s="25"/>
      <c r="L308" s="25"/>
      <c r="M308" s="25"/>
      <c r="N308" s="25"/>
      <c r="O308" s="25"/>
      <c r="P308" s="25"/>
      <c r="Q308" s="25"/>
      <c r="R308" s="25"/>
      <c r="S308" s="25"/>
      <c r="T308" s="51">
        <v>44531</v>
      </c>
      <c r="U308" s="25"/>
      <c r="V308" s="25"/>
      <c r="W308" s="25" t="s">
        <v>1329</v>
      </c>
      <c r="X308" s="25" t="s">
        <v>1330</v>
      </c>
      <c r="Y308" s="25"/>
      <c r="Z308" s="25"/>
      <c r="AA308" s="25"/>
      <c r="AB308" s="25"/>
      <c r="AC308" s="25" t="str">
        <f>TRIM(StudentScore[[#This Row],[Student Email]])</f>
        <v>thipwarin.cho@student.mahidol.ac.th</v>
      </c>
    </row>
    <row r="309" spans="1:29" ht="27">
      <c r="A309" s="15">
        <v>303</v>
      </c>
      <c r="B309" s="16">
        <f t="shared" si="16"/>
        <v>62</v>
      </c>
      <c r="C309" s="27">
        <f t="shared" si="17"/>
        <v>2022</v>
      </c>
      <c r="D309" s="54"/>
      <c r="E309" s="17">
        <v>6288178</v>
      </c>
      <c r="F309" s="14" t="s">
        <v>38</v>
      </c>
      <c r="G309" s="14" t="s">
        <v>1331</v>
      </c>
      <c r="H309" s="18" t="s">
        <v>1332</v>
      </c>
      <c r="I309" s="25" t="s">
        <v>102</v>
      </c>
      <c r="J309" s="25">
        <v>86</v>
      </c>
      <c r="K309" s="25"/>
      <c r="L309" s="25"/>
      <c r="M309" s="25"/>
      <c r="N309" s="25"/>
      <c r="O309" s="25"/>
      <c r="P309" s="25"/>
      <c r="Q309" s="25"/>
      <c r="R309" s="25"/>
      <c r="S309" s="35">
        <v>45021</v>
      </c>
      <c r="T309" s="35">
        <v>45034</v>
      </c>
      <c r="U309" s="25"/>
      <c r="V309" s="25"/>
      <c r="W309" s="25" t="s">
        <v>1333</v>
      </c>
      <c r="X309" s="25" t="s">
        <v>1334</v>
      </c>
      <c r="Y309" s="25"/>
      <c r="Z309" s="25"/>
      <c r="AA309" s="25"/>
      <c r="AB309" s="25"/>
      <c r="AC309" s="25" t="str">
        <f>TRIM(StudentScore[[#This Row],[Student Email]])</f>
        <v>theerawat.san@student.mahidol.ac.th</v>
      </c>
    </row>
    <row r="310" spans="1:29" ht="27">
      <c r="A310" s="15">
        <v>304</v>
      </c>
      <c r="B310" s="16">
        <f t="shared" si="16"/>
        <v>62</v>
      </c>
      <c r="C310" s="27">
        <f t="shared" si="17"/>
        <v>2022</v>
      </c>
      <c r="D310" s="54"/>
      <c r="E310" s="17">
        <v>6288179</v>
      </c>
      <c r="F310" s="14" t="s">
        <v>38</v>
      </c>
      <c r="G310" s="14" t="s">
        <v>1335</v>
      </c>
      <c r="H310" s="18" t="s">
        <v>1336</v>
      </c>
      <c r="I310" s="25" t="s">
        <v>244</v>
      </c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 t="s">
        <v>1337</v>
      </c>
      <c r="Y310" s="25"/>
      <c r="Z310" s="25"/>
      <c r="AA310" s="25"/>
      <c r="AB310" s="25"/>
      <c r="AC310" s="25" t="str">
        <f>TRIM(StudentScore[[#This Row],[Student Email]])</f>
        <v>noppanant.bor@student.mahidol.ac.th</v>
      </c>
    </row>
    <row r="311" spans="1:29" ht="27">
      <c r="A311" s="15">
        <v>305</v>
      </c>
      <c r="B311" s="16">
        <f t="shared" si="16"/>
        <v>62</v>
      </c>
      <c r="C311" s="27">
        <f t="shared" si="17"/>
        <v>2022</v>
      </c>
      <c r="D311" s="54"/>
      <c r="E311" s="17">
        <v>6288180</v>
      </c>
      <c r="F311" s="14" t="s">
        <v>38</v>
      </c>
      <c r="G311" s="14" t="s">
        <v>1338</v>
      </c>
      <c r="H311" s="18" t="s">
        <v>1339</v>
      </c>
      <c r="I311" s="25" t="s">
        <v>48</v>
      </c>
      <c r="J311" s="25">
        <v>850</v>
      </c>
      <c r="K311" s="25">
        <v>440</v>
      </c>
      <c r="L311" s="25">
        <v>410</v>
      </c>
      <c r="M311" s="25"/>
      <c r="N311" s="25"/>
      <c r="O311" s="25"/>
      <c r="P311" s="25"/>
      <c r="Q311" s="25"/>
      <c r="R311" s="25"/>
      <c r="S311" s="35">
        <v>44713</v>
      </c>
      <c r="T311" s="35">
        <v>44727</v>
      </c>
      <c r="U311" s="25"/>
      <c r="V311" s="25"/>
      <c r="W311" s="25" t="s">
        <v>1340</v>
      </c>
      <c r="X311" s="25" t="s">
        <v>1341</v>
      </c>
      <c r="Y311" s="25"/>
      <c r="Z311" s="25"/>
      <c r="AA311" s="25"/>
      <c r="AB311" s="25"/>
      <c r="AC311" s="25" t="str">
        <f>TRIM(StudentScore[[#This Row],[Student Email]])</f>
        <v>naravit.ung@student.mahidol.ac.th</v>
      </c>
    </row>
    <row r="312" spans="1:29" ht="27">
      <c r="A312" s="15">
        <v>306</v>
      </c>
      <c r="B312" s="16">
        <f t="shared" si="16"/>
        <v>62</v>
      </c>
      <c r="C312" s="27">
        <f t="shared" si="17"/>
        <v>2022</v>
      </c>
      <c r="D312" s="54"/>
      <c r="E312" s="17">
        <v>6288181</v>
      </c>
      <c r="F312" s="14" t="s">
        <v>38</v>
      </c>
      <c r="G312" s="14" t="s">
        <v>1342</v>
      </c>
      <c r="H312" s="18" t="s">
        <v>1343</v>
      </c>
      <c r="I312" s="25" t="s">
        <v>102</v>
      </c>
      <c r="J312" s="25">
        <v>88</v>
      </c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 t="s">
        <v>1344</v>
      </c>
      <c r="X312" s="25" t="s">
        <v>1345</v>
      </c>
      <c r="Y312" s="25"/>
      <c r="Z312" s="25"/>
      <c r="AA312" s="25"/>
      <c r="AB312" s="25"/>
      <c r="AC312" s="25" t="str">
        <f>TRIM(StudentScore[[#This Row],[Student Email]])</f>
        <v>pitchapol.tha@student.mahidol.ac.th</v>
      </c>
    </row>
    <row r="313" spans="1:29" ht="27">
      <c r="A313" s="15">
        <v>307</v>
      </c>
      <c r="B313" s="16">
        <f t="shared" si="16"/>
        <v>62</v>
      </c>
      <c r="C313" s="27">
        <f t="shared" si="17"/>
        <v>2022</v>
      </c>
      <c r="D313" s="54"/>
      <c r="E313" s="17">
        <v>6288182</v>
      </c>
      <c r="F313" s="14" t="s">
        <v>38</v>
      </c>
      <c r="G313" s="14" t="s">
        <v>1346</v>
      </c>
      <c r="H313" s="18" t="s">
        <v>1347</v>
      </c>
      <c r="I313" s="25" t="s">
        <v>102</v>
      </c>
      <c r="J313" s="25">
        <v>81</v>
      </c>
      <c r="K313" s="25"/>
      <c r="L313" s="25"/>
      <c r="M313" s="25"/>
      <c r="N313" s="25"/>
      <c r="O313" s="25"/>
      <c r="P313" s="25"/>
      <c r="Q313" s="25"/>
      <c r="R313" s="25"/>
      <c r="S313" s="25"/>
      <c r="T313" s="51">
        <v>44682</v>
      </c>
      <c r="U313" s="25"/>
      <c r="V313" s="25"/>
      <c r="W313" s="25" t="s">
        <v>1348</v>
      </c>
      <c r="X313" s="25" t="s">
        <v>1349</v>
      </c>
      <c r="Y313" s="25"/>
      <c r="Z313" s="25"/>
      <c r="AA313" s="25"/>
      <c r="AB313" s="25"/>
      <c r="AC313" s="25" t="str">
        <f>TRIM(StudentScore[[#This Row],[Student Email]])</f>
        <v>pakin.chu@student.mahidol.ac.th</v>
      </c>
    </row>
    <row r="314" spans="1:29" ht="27">
      <c r="A314" s="15">
        <v>308</v>
      </c>
      <c r="B314" s="16">
        <f t="shared" si="16"/>
        <v>62</v>
      </c>
      <c r="C314" s="27">
        <f t="shared" si="17"/>
        <v>2022</v>
      </c>
      <c r="D314" s="54"/>
      <c r="E314" s="17">
        <v>6288184</v>
      </c>
      <c r="F314" s="14" t="s">
        <v>117</v>
      </c>
      <c r="G314" s="14" t="s">
        <v>1350</v>
      </c>
      <c r="H314" s="18" t="s">
        <v>1351</v>
      </c>
      <c r="I314" s="25" t="s">
        <v>53</v>
      </c>
      <c r="J314" s="25">
        <v>90</v>
      </c>
      <c r="K314" s="25">
        <v>53</v>
      </c>
      <c r="L314" s="25">
        <v>37</v>
      </c>
      <c r="M314" s="25"/>
      <c r="N314" s="25"/>
      <c r="O314" s="25"/>
      <c r="P314" s="25"/>
      <c r="Q314" s="25"/>
      <c r="R314" s="25"/>
      <c r="S314" s="26">
        <v>45045</v>
      </c>
      <c r="T314" s="35">
        <v>45065</v>
      </c>
      <c r="U314" s="25"/>
      <c r="V314" s="25"/>
      <c r="W314" s="25" t="s">
        <v>1352</v>
      </c>
      <c r="X314" s="25" t="s">
        <v>1353</v>
      </c>
      <c r="Y314" s="42">
        <v>45065.559861111113</v>
      </c>
      <c r="Z314" s="25" t="s">
        <v>1354</v>
      </c>
      <c r="AA314" s="25"/>
      <c r="AB314" s="25"/>
      <c r="AC314" s="25" t="str">
        <f>TRIM(StudentScore[[#This Row],[Student Email]])</f>
        <v>rujikorn.yea@student.mahidol.ac.th</v>
      </c>
    </row>
    <row r="315" spans="1:29" ht="27">
      <c r="A315" s="15">
        <v>309</v>
      </c>
      <c r="B315" s="16">
        <f t="shared" si="16"/>
        <v>62</v>
      </c>
      <c r="C315" s="27">
        <f t="shared" si="17"/>
        <v>2022</v>
      </c>
      <c r="D315" s="54"/>
      <c r="E315" s="17">
        <v>6288185</v>
      </c>
      <c r="F315" s="14" t="s">
        <v>38</v>
      </c>
      <c r="G315" s="14" t="s">
        <v>1355</v>
      </c>
      <c r="H315" s="18" t="s">
        <v>1356</v>
      </c>
      <c r="I315" s="25" t="s">
        <v>244</v>
      </c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 t="s">
        <v>1357</v>
      </c>
      <c r="Y315" s="25"/>
      <c r="Z315" s="25"/>
      <c r="AA315" s="25"/>
      <c r="AB315" s="25"/>
      <c r="AC315" s="25" t="str">
        <f>TRIM(StudentScore[[#This Row],[Student Email]])</f>
        <v>varachit.wir@student.mahidol.ac.th</v>
      </c>
    </row>
    <row r="316" spans="1:29" ht="27">
      <c r="A316" s="15">
        <v>310</v>
      </c>
      <c r="B316" s="16">
        <f t="shared" si="16"/>
        <v>62</v>
      </c>
      <c r="C316" s="27">
        <f t="shared" si="17"/>
        <v>2022</v>
      </c>
      <c r="D316" s="54"/>
      <c r="E316" s="17">
        <v>6288186</v>
      </c>
      <c r="F316" s="14" t="s">
        <v>38</v>
      </c>
      <c r="G316" s="14" t="s">
        <v>1358</v>
      </c>
      <c r="H316" s="18" t="s">
        <v>1359</v>
      </c>
      <c r="I316" s="25" t="s">
        <v>102</v>
      </c>
      <c r="J316" s="25">
        <v>90</v>
      </c>
      <c r="K316" s="25"/>
      <c r="L316" s="25"/>
      <c r="M316" s="25"/>
      <c r="N316" s="25"/>
      <c r="O316" s="25"/>
      <c r="P316" s="25"/>
      <c r="Q316" s="25"/>
      <c r="R316" s="25"/>
      <c r="S316" s="25"/>
      <c r="T316" s="51">
        <v>44531</v>
      </c>
      <c r="U316" s="25"/>
      <c r="V316" s="25"/>
      <c r="W316" s="25" t="s">
        <v>1360</v>
      </c>
      <c r="X316" s="25" t="s">
        <v>1361</v>
      </c>
      <c r="Y316" s="25"/>
      <c r="Z316" s="25"/>
      <c r="AA316" s="25"/>
      <c r="AB316" s="25"/>
      <c r="AC316" s="25" t="str">
        <f>TRIM(StudentScore[[#This Row],[Student Email]])</f>
        <v>viphob.ler@student.mahidol.ac.th</v>
      </c>
    </row>
    <row r="317" spans="1:29" ht="27">
      <c r="A317" s="15">
        <v>311</v>
      </c>
      <c r="B317" s="16">
        <f t="shared" si="16"/>
        <v>62</v>
      </c>
      <c r="C317" s="27">
        <f t="shared" si="17"/>
        <v>2022</v>
      </c>
      <c r="D317" s="54"/>
      <c r="E317" s="17">
        <v>6288187</v>
      </c>
      <c r="F317" s="14" t="s">
        <v>38</v>
      </c>
      <c r="G317" s="14" t="s">
        <v>1362</v>
      </c>
      <c r="H317" s="18" t="s">
        <v>1363</v>
      </c>
      <c r="I317" s="25" t="s">
        <v>102</v>
      </c>
      <c r="J317" s="25">
        <v>88</v>
      </c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 t="s">
        <v>1364</v>
      </c>
      <c r="X317" s="25" t="s">
        <v>1365</v>
      </c>
      <c r="Y317" s="25"/>
      <c r="Z317" s="25"/>
      <c r="AA317" s="25"/>
      <c r="AB317" s="25"/>
      <c r="AC317" s="25" t="str">
        <f>TRIM(StudentScore[[#This Row],[Student Email]])</f>
        <v>saran.jea@student.mahidol.ac.th</v>
      </c>
    </row>
    <row r="318" spans="1:29" ht="27">
      <c r="A318" s="15">
        <v>312</v>
      </c>
      <c r="B318" s="16">
        <f t="shared" si="16"/>
        <v>62</v>
      </c>
      <c r="C318" s="27">
        <f t="shared" si="17"/>
        <v>2022</v>
      </c>
      <c r="D318" s="54"/>
      <c r="E318" s="17">
        <v>6288188</v>
      </c>
      <c r="F318" s="14" t="s">
        <v>117</v>
      </c>
      <c r="G318" s="14" t="s">
        <v>1366</v>
      </c>
      <c r="H318" s="18" t="s">
        <v>1367</v>
      </c>
      <c r="I318" s="25" t="s">
        <v>124</v>
      </c>
      <c r="J318" s="25">
        <v>6.5</v>
      </c>
      <c r="K318" s="25">
        <v>6</v>
      </c>
      <c r="L318" s="25">
        <v>8</v>
      </c>
      <c r="M318" s="25">
        <v>5.5</v>
      </c>
      <c r="N318" s="25">
        <v>6.5</v>
      </c>
      <c r="O318" s="25"/>
      <c r="P318" s="25"/>
      <c r="Q318" s="25"/>
      <c r="R318" s="25"/>
      <c r="S318" s="35">
        <v>43477</v>
      </c>
      <c r="T318" s="51">
        <v>44044</v>
      </c>
      <c r="U318" s="25"/>
      <c r="V318" s="25"/>
      <c r="W318" s="25" t="s">
        <v>1368</v>
      </c>
      <c r="X318" s="25" t="s">
        <v>1369</v>
      </c>
      <c r="Y318" s="25"/>
      <c r="Z318" s="25"/>
      <c r="AA318" s="25"/>
      <c r="AB318" s="25"/>
      <c r="AC318" s="25" t="str">
        <f>TRIM(StudentScore[[#This Row],[Student Email]])</f>
        <v>supitsara.sar@student.mahidol.ac.th</v>
      </c>
    </row>
    <row r="319" spans="1:29" ht="27">
      <c r="A319" s="15">
        <v>313</v>
      </c>
      <c r="B319" s="16">
        <f t="shared" si="16"/>
        <v>62</v>
      </c>
      <c r="C319" s="27">
        <f t="shared" si="17"/>
        <v>2022</v>
      </c>
      <c r="D319" s="54"/>
      <c r="E319" s="17">
        <v>6288190</v>
      </c>
      <c r="F319" s="14" t="s">
        <v>38</v>
      </c>
      <c r="G319" s="14" t="s">
        <v>1370</v>
      </c>
      <c r="H319" s="18" t="s">
        <v>1371</v>
      </c>
      <c r="I319" s="25" t="s">
        <v>48</v>
      </c>
      <c r="J319" s="25">
        <v>655</v>
      </c>
      <c r="K319" s="25">
        <v>325</v>
      </c>
      <c r="L319" s="25">
        <v>330</v>
      </c>
      <c r="M319" s="25"/>
      <c r="N319" s="25"/>
      <c r="O319" s="25"/>
      <c r="P319" s="25"/>
      <c r="Q319" s="25"/>
      <c r="R319" s="25"/>
      <c r="S319" s="26">
        <v>44776</v>
      </c>
      <c r="T319" s="51">
        <v>44805</v>
      </c>
      <c r="U319" s="25"/>
      <c r="V319" s="25" t="s">
        <v>1</v>
      </c>
      <c r="W319" s="25" t="s">
        <v>1372</v>
      </c>
      <c r="X319" s="25" t="s">
        <v>1373</v>
      </c>
      <c r="Y319" s="42">
        <v>44810.672175925924</v>
      </c>
      <c r="Z319" s="25" t="s">
        <v>1374</v>
      </c>
      <c r="AA319" s="25"/>
      <c r="AB319" s="25"/>
      <c r="AC319" s="25" t="str">
        <f>TRIM(StudentScore[[#This Row],[Student Email]])</f>
        <v>sittha.lim@student.mahidol.ac.th</v>
      </c>
    </row>
    <row r="320" spans="1:29" ht="27">
      <c r="A320" s="15">
        <v>314</v>
      </c>
      <c r="B320" s="16">
        <f t="shared" si="16"/>
        <v>62</v>
      </c>
      <c r="C320" s="27">
        <f t="shared" si="17"/>
        <v>2022</v>
      </c>
      <c r="D320" s="54"/>
      <c r="E320" s="17">
        <v>6288193</v>
      </c>
      <c r="F320" s="14" t="s">
        <v>117</v>
      </c>
      <c r="G320" s="14" t="s">
        <v>1165</v>
      </c>
      <c r="H320" s="18" t="s">
        <v>1375</v>
      </c>
      <c r="I320" s="25" t="s">
        <v>48</v>
      </c>
      <c r="J320" s="25">
        <v>830</v>
      </c>
      <c r="K320" s="25">
        <v>430</v>
      </c>
      <c r="L320" s="25">
        <v>400</v>
      </c>
      <c r="M320" s="25"/>
      <c r="N320" s="25"/>
      <c r="O320" s="25"/>
      <c r="P320" s="25"/>
      <c r="Q320" s="25"/>
      <c r="R320" s="25"/>
      <c r="S320" s="35">
        <v>44747</v>
      </c>
      <c r="T320" s="51">
        <v>44774</v>
      </c>
      <c r="U320" s="25"/>
      <c r="V320" s="25"/>
      <c r="W320" s="25" t="s">
        <v>1376</v>
      </c>
      <c r="X320" s="25" t="s">
        <v>1377</v>
      </c>
      <c r="Y320" s="25"/>
      <c r="Z320" s="25"/>
      <c r="AA320" s="25"/>
      <c r="AB320" s="25"/>
      <c r="AC320" s="25" t="str">
        <f>TRIM(StudentScore[[#This Row],[Student Email]])</f>
        <v>araya.pra@student.mahidol.ac.th</v>
      </c>
    </row>
    <row r="321" spans="1:29" ht="27">
      <c r="A321" s="15">
        <v>315</v>
      </c>
      <c r="B321" s="16">
        <f t="shared" si="16"/>
        <v>62</v>
      </c>
      <c r="C321" s="27">
        <f t="shared" si="17"/>
        <v>2022</v>
      </c>
      <c r="D321" s="54"/>
      <c r="E321" s="17">
        <v>6288194</v>
      </c>
      <c r="F321" s="14" t="s">
        <v>38</v>
      </c>
      <c r="G321" s="14" t="s">
        <v>1378</v>
      </c>
      <c r="H321" s="18" t="s">
        <v>1379</v>
      </c>
      <c r="I321" s="25" t="s">
        <v>244</v>
      </c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 t="s">
        <v>1380</v>
      </c>
      <c r="X321" s="25" t="s">
        <v>1381</v>
      </c>
      <c r="Y321" s="25"/>
      <c r="Z321" s="25"/>
      <c r="AA321" s="25"/>
      <c r="AB321" s="25"/>
      <c r="AC321" s="25" t="str">
        <f>TRIM(StudentScore[[#This Row],[Student Email]])</f>
        <v>ziming.gao@student.mahidol.ac.th</v>
      </c>
    </row>
    <row r="322" spans="1:29" ht="27">
      <c r="A322" s="15">
        <v>316</v>
      </c>
      <c r="B322" s="16">
        <f t="shared" si="16"/>
        <v>62</v>
      </c>
      <c r="C322" s="27">
        <f t="shared" si="17"/>
        <v>2022</v>
      </c>
      <c r="D322" s="54"/>
      <c r="E322" s="17">
        <v>6288195</v>
      </c>
      <c r="F322" s="14" t="s">
        <v>38</v>
      </c>
      <c r="G322" s="14" t="s">
        <v>1382</v>
      </c>
      <c r="H322" s="18" t="s">
        <v>1383</v>
      </c>
      <c r="I322" s="25" t="s">
        <v>124</v>
      </c>
      <c r="J322" s="25">
        <v>5.5</v>
      </c>
      <c r="K322" s="25">
        <v>5.5</v>
      </c>
      <c r="L322" s="25">
        <v>5</v>
      </c>
      <c r="M322" s="25">
        <v>5.5</v>
      </c>
      <c r="N322" s="25">
        <v>5.5</v>
      </c>
      <c r="O322" s="25"/>
      <c r="P322" s="25"/>
      <c r="Q322" s="25"/>
      <c r="R322" s="25"/>
      <c r="S322" s="35">
        <v>43442</v>
      </c>
      <c r="T322" s="51">
        <v>43678</v>
      </c>
      <c r="U322" s="25"/>
      <c r="V322" s="25"/>
      <c r="W322" s="25" t="s">
        <v>1384</v>
      </c>
      <c r="X322" s="25" t="s">
        <v>1385</v>
      </c>
      <c r="Y322" s="25"/>
      <c r="Z322" s="25"/>
      <c r="AA322" s="25"/>
      <c r="AB322" s="25"/>
      <c r="AC322" s="25" t="str">
        <f>TRIM(StudentScore[[#This Row],[Student Email]])</f>
        <v>bolun.hua@student.mahidol.ac.th</v>
      </c>
    </row>
    <row r="323" spans="1:29" ht="27">
      <c r="A323" s="15">
        <v>317</v>
      </c>
      <c r="B323" s="16">
        <f t="shared" si="16"/>
        <v>62</v>
      </c>
      <c r="C323" s="27">
        <f t="shared" si="17"/>
        <v>2022</v>
      </c>
      <c r="D323" s="54"/>
      <c r="E323" s="17">
        <v>6288196</v>
      </c>
      <c r="F323" s="14" t="s">
        <v>38</v>
      </c>
      <c r="G323" s="14" t="s">
        <v>1386</v>
      </c>
      <c r="H323" s="18" t="s">
        <v>1387</v>
      </c>
      <c r="I323" s="25" t="s">
        <v>102</v>
      </c>
      <c r="J323" s="25">
        <v>83</v>
      </c>
      <c r="K323" s="25"/>
      <c r="L323" s="25"/>
      <c r="M323" s="25"/>
      <c r="N323" s="25"/>
      <c r="O323" s="25"/>
      <c r="P323" s="25"/>
      <c r="Q323" s="25"/>
      <c r="R323" s="25"/>
      <c r="S323" s="25"/>
      <c r="T323" s="51">
        <v>44682</v>
      </c>
      <c r="U323" s="25"/>
      <c r="V323" s="25"/>
      <c r="W323" s="25" t="s">
        <v>1388</v>
      </c>
      <c r="X323" s="25" t="s">
        <v>1389</v>
      </c>
      <c r="Y323" s="25"/>
      <c r="Z323" s="25"/>
      <c r="AA323" s="25"/>
      <c r="AB323" s="25"/>
      <c r="AC323" s="25" t="str">
        <f>TRIM(StudentScore[[#This Row],[Student Email]])</f>
        <v>jilin.li@student.mahidol.ac.th</v>
      </c>
    </row>
    <row r="324" spans="1:29" ht="27">
      <c r="A324" s="15">
        <v>318</v>
      </c>
      <c r="B324" s="16">
        <f t="shared" si="16"/>
        <v>62</v>
      </c>
      <c r="C324" s="27">
        <f t="shared" si="17"/>
        <v>2022</v>
      </c>
      <c r="D324" s="54"/>
      <c r="E324" s="17">
        <v>6288197</v>
      </c>
      <c r="F324" s="14" t="s">
        <v>117</v>
      </c>
      <c r="G324" s="14" t="s">
        <v>1390</v>
      </c>
      <c r="H324" s="18" t="s">
        <v>1387</v>
      </c>
      <c r="I324" s="25" t="s">
        <v>124</v>
      </c>
      <c r="J324" s="25">
        <v>6</v>
      </c>
      <c r="K324" s="25">
        <v>6.5</v>
      </c>
      <c r="L324" s="25">
        <v>6.5</v>
      </c>
      <c r="M324" s="25">
        <v>5</v>
      </c>
      <c r="N324" s="25">
        <v>6</v>
      </c>
      <c r="O324" s="25"/>
      <c r="P324" s="25"/>
      <c r="Q324" s="25"/>
      <c r="R324" s="25"/>
      <c r="S324" s="35">
        <v>43547</v>
      </c>
      <c r="T324" s="51">
        <v>43678</v>
      </c>
      <c r="U324" s="25"/>
      <c r="V324" s="25"/>
      <c r="W324" s="25" t="s">
        <v>1391</v>
      </c>
      <c r="X324" s="25" t="s">
        <v>1392</v>
      </c>
      <c r="Y324" s="25"/>
      <c r="Z324" s="25"/>
      <c r="AA324" s="25"/>
      <c r="AB324" s="25"/>
      <c r="AC324" s="25" t="str">
        <f>TRIM(StudentScore[[#This Row],[Student Email]])</f>
        <v>shan.li@student.mahidol.ac.th</v>
      </c>
    </row>
    <row r="325" spans="1:29" ht="27">
      <c r="A325" s="15">
        <v>319</v>
      </c>
      <c r="B325" s="16">
        <f t="shared" si="16"/>
        <v>62</v>
      </c>
      <c r="C325" s="27">
        <f t="shared" si="17"/>
        <v>2022</v>
      </c>
      <c r="D325" s="54"/>
      <c r="E325" s="17">
        <v>6288198</v>
      </c>
      <c r="F325" s="14" t="s">
        <v>117</v>
      </c>
      <c r="G325" s="14" t="s">
        <v>1393</v>
      </c>
      <c r="H325" s="18" t="s">
        <v>1394</v>
      </c>
      <c r="I325" s="25" t="s">
        <v>102</v>
      </c>
      <c r="J325" s="25">
        <v>80</v>
      </c>
      <c r="K325" s="25"/>
      <c r="L325" s="25"/>
      <c r="M325" s="25"/>
      <c r="N325" s="25"/>
      <c r="O325" s="25"/>
      <c r="P325" s="25"/>
      <c r="Q325" s="25"/>
      <c r="R325" s="25"/>
      <c r="S325" s="35">
        <v>45021</v>
      </c>
      <c r="T325" s="35">
        <v>45034</v>
      </c>
      <c r="U325" s="25"/>
      <c r="V325" s="25"/>
      <c r="W325" s="25" t="s">
        <v>1395</v>
      </c>
      <c r="X325" s="25" t="s">
        <v>1396</v>
      </c>
      <c r="Y325" s="25"/>
      <c r="Z325" s="25"/>
      <c r="AA325" s="25"/>
      <c r="AB325" s="25"/>
      <c r="AC325" s="25" t="str">
        <f>TRIM(StudentScore[[#This Row],[Student Email]])</f>
        <v>yueting.liu@student.mahidol.ac.th</v>
      </c>
    </row>
    <row r="326" spans="1:29" ht="27">
      <c r="A326" s="15">
        <v>320</v>
      </c>
      <c r="B326" s="16">
        <f t="shared" si="16"/>
        <v>62</v>
      </c>
      <c r="C326" s="27">
        <f t="shared" si="17"/>
        <v>2022</v>
      </c>
      <c r="D326" s="54"/>
      <c r="E326" s="17">
        <v>6288199</v>
      </c>
      <c r="F326" s="14" t="s">
        <v>38</v>
      </c>
      <c r="G326" s="14" t="s">
        <v>1397</v>
      </c>
      <c r="H326" s="18" t="s">
        <v>1394</v>
      </c>
      <c r="I326" s="25" t="s">
        <v>102</v>
      </c>
      <c r="J326" s="25">
        <v>87</v>
      </c>
      <c r="K326" s="25"/>
      <c r="L326" s="25"/>
      <c r="M326" s="25"/>
      <c r="N326" s="25"/>
      <c r="O326" s="25"/>
      <c r="P326" s="25"/>
      <c r="Q326" s="25"/>
      <c r="R326" s="25"/>
      <c r="S326" s="25"/>
      <c r="T326" s="51">
        <v>44682</v>
      </c>
      <c r="U326" s="25"/>
      <c r="V326" s="25"/>
      <c r="W326" s="25" t="s">
        <v>1398</v>
      </c>
      <c r="X326" s="25" t="s">
        <v>1399</v>
      </c>
      <c r="Y326" s="25"/>
      <c r="Z326" s="25"/>
      <c r="AA326" s="25"/>
      <c r="AB326" s="25"/>
      <c r="AC326" s="25" t="str">
        <f>TRIM(StudentScore[[#This Row],[Student Email]])</f>
        <v>zhiyuan.liu@student.mahidol.ac.th</v>
      </c>
    </row>
    <row r="327" spans="1:29" ht="27">
      <c r="A327" s="15">
        <v>321</v>
      </c>
      <c r="B327" s="16">
        <f t="shared" si="16"/>
        <v>62</v>
      </c>
      <c r="C327" s="27">
        <f t="shared" si="17"/>
        <v>2022</v>
      </c>
      <c r="D327" s="54"/>
      <c r="E327" s="17">
        <v>6288200</v>
      </c>
      <c r="F327" s="14" t="s">
        <v>38</v>
      </c>
      <c r="G327" s="14" t="s">
        <v>1400</v>
      </c>
      <c r="H327" s="18" t="s">
        <v>1401</v>
      </c>
      <c r="I327" s="25" t="s">
        <v>244</v>
      </c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 t="s">
        <v>1402</v>
      </c>
      <c r="X327" s="25" t="s">
        <v>1403</v>
      </c>
      <c r="Y327" s="25"/>
      <c r="Z327" s="25"/>
      <c r="AA327" s="25"/>
      <c r="AB327" s="25"/>
      <c r="AC327" s="25" t="str">
        <f>TRIM(StudentScore[[#This Row],[Student Email]])</f>
        <v>fushan.luo@student.mahidol.ac.th</v>
      </c>
    </row>
    <row r="328" spans="1:29" ht="27">
      <c r="A328" s="15">
        <v>322</v>
      </c>
      <c r="B328" s="16">
        <f t="shared" si="16"/>
        <v>62</v>
      </c>
      <c r="C328" s="27">
        <f t="shared" si="17"/>
        <v>2022</v>
      </c>
      <c r="D328" s="54"/>
      <c r="E328" s="17">
        <v>6288201</v>
      </c>
      <c r="F328" s="14" t="s">
        <v>38</v>
      </c>
      <c r="G328" s="14" t="s">
        <v>1404</v>
      </c>
      <c r="H328" s="18" t="s">
        <v>1405</v>
      </c>
      <c r="I328" s="25" t="s">
        <v>102</v>
      </c>
      <c r="J328" s="25">
        <v>83</v>
      </c>
      <c r="K328" s="25"/>
      <c r="L328" s="25"/>
      <c r="M328" s="25"/>
      <c r="N328" s="25"/>
      <c r="O328" s="25"/>
      <c r="P328" s="25"/>
      <c r="Q328" s="25"/>
      <c r="R328" s="25"/>
      <c r="S328" s="25"/>
      <c r="T328" s="51">
        <v>44682</v>
      </c>
      <c r="U328" s="25"/>
      <c r="V328" s="25"/>
      <c r="W328" s="25" t="s">
        <v>1406</v>
      </c>
      <c r="X328" s="25" t="s">
        <v>1407</v>
      </c>
      <c r="Y328" s="25"/>
      <c r="Z328" s="25"/>
      <c r="AA328" s="25"/>
      <c r="AB328" s="25"/>
      <c r="AC328" s="25" t="str">
        <f>TRIM(StudentScore[[#This Row],[Student Email]])</f>
        <v>yuanfang.ma@student.mahidol.ac.th</v>
      </c>
    </row>
    <row r="329" spans="1:29" ht="27">
      <c r="A329" s="15">
        <v>323</v>
      </c>
      <c r="B329" s="16">
        <f t="shared" ref="B329:B342" si="18">VALUE(LEFT(E329,2))</f>
        <v>62</v>
      </c>
      <c r="C329" s="27">
        <f t="shared" ref="C329:C342" si="19">VALUE("25"&amp;B329)-543+3</f>
        <v>2022</v>
      </c>
      <c r="D329" s="54"/>
      <c r="E329" s="17">
        <v>6288202</v>
      </c>
      <c r="F329" s="14" t="s">
        <v>38</v>
      </c>
      <c r="G329" s="14" t="s">
        <v>1408</v>
      </c>
      <c r="H329" s="18" t="s">
        <v>1409</v>
      </c>
      <c r="I329" s="25" t="s">
        <v>124</v>
      </c>
      <c r="J329" s="25">
        <v>5.5</v>
      </c>
      <c r="K329" s="25">
        <v>5</v>
      </c>
      <c r="L329" s="25">
        <v>6</v>
      </c>
      <c r="M329" s="25">
        <v>6</v>
      </c>
      <c r="N329" s="25">
        <v>5.5</v>
      </c>
      <c r="O329" s="25"/>
      <c r="P329" s="25"/>
      <c r="Q329" s="25"/>
      <c r="R329" s="25"/>
      <c r="S329" s="35">
        <v>43512</v>
      </c>
      <c r="T329" s="51">
        <v>43678</v>
      </c>
      <c r="U329" s="25"/>
      <c r="V329" s="25"/>
      <c r="W329" s="25" t="s">
        <v>1410</v>
      </c>
      <c r="X329" s="25" t="s">
        <v>1411</v>
      </c>
      <c r="Y329" s="25"/>
      <c r="Z329" s="25"/>
      <c r="AA329" s="25"/>
      <c r="AB329" s="25"/>
      <c r="AC329" s="25" t="str">
        <f>TRIM(StudentScore[[#This Row],[Student Email]])</f>
        <v>yu.wan@student.mahidol.ac.th</v>
      </c>
    </row>
    <row r="330" spans="1:29" ht="27">
      <c r="A330" s="15">
        <v>324</v>
      </c>
      <c r="B330" s="16">
        <f t="shared" si="18"/>
        <v>62</v>
      </c>
      <c r="C330" s="27">
        <f t="shared" si="19"/>
        <v>2022</v>
      </c>
      <c r="D330" s="54"/>
      <c r="E330" s="17">
        <v>6288203</v>
      </c>
      <c r="F330" s="14" t="s">
        <v>117</v>
      </c>
      <c r="G330" s="14" t="s">
        <v>1412</v>
      </c>
      <c r="H330" s="18" t="s">
        <v>1413</v>
      </c>
      <c r="I330" s="25" t="s">
        <v>124</v>
      </c>
      <c r="J330" s="25">
        <v>5.5</v>
      </c>
      <c r="K330" s="25">
        <v>5.5</v>
      </c>
      <c r="L330" s="25">
        <v>5.5</v>
      </c>
      <c r="M330" s="25">
        <v>5.5</v>
      </c>
      <c r="N330" s="25">
        <v>5.5</v>
      </c>
      <c r="O330" s="25"/>
      <c r="P330" s="25"/>
      <c r="Q330" s="25"/>
      <c r="R330" s="25"/>
      <c r="S330" s="35">
        <v>43484</v>
      </c>
      <c r="T330" s="51">
        <v>43678</v>
      </c>
      <c r="U330" s="25"/>
      <c r="V330" s="25"/>
      <c r="W330" s="25" t="s">
        <v>1414</v>
      </c>
      <c r="X330" s="25" t="s">
        <v>1415</v>
      </c>
      <c r="Y330" s="25"/>
      <c r="Z330" s="25"/>
      <c r="AA330" s="25"/>
      <c r="AB330" s="25"/>
      <c r="AC330" s="25" t="str">
        <f>TRIM(StudentScore[[#This Row],[Student Email]])</f>
        <v>luxi.xie@student.mahidol.ac.th</v>
      </c>
    </row>
    <row r="331" spans="1:29" ht="27">
      <c r="A331" s="15">
        <v>325</v>
      </c>
      <c r="B331" s="16">
        <f t="shared" si="18"/>
        <v>62</v>
      </c>
      <c r="C331" s="27">
        <f t="shared" si="19"/>
        <v>2022</v>
      </c>
      <c r="D331" s="54"/>
      <c r="E331" s="17">
        <v>6288204</v>
      </c>
      <c r="F331" s="14" t="s">
        <v>38</v>
      </c>
      <c r="G331" s="14" t="s">
        <v>1416</v>
      </c>
      <c r="H331" s="18" t="s">
        <v>1417</v>
      </c>
      <c r="I331" s="25" t="s">
        <v>124</v>
      </c>
      <c r="J331" s="25">
        <v>6</v>
      </c>
      <c r="K331" s="25">
        <v>6.5</v>
      </c>
      <c r="L331" s="25">
        <v>6.5</v>
      </c>
      <c r="M331" s="25">
        <v>5.5</v>
      </c>
      <c r="N331" s="25">
        <v>6</v>
      </c>
      <c r="O331" s="25"/>
      <c r="P331" s="25"/>
      <c r="Q331" s="25"/>
      <c r="R331" s="25"/>
      <c r="S331" s="35">
        <v>43512</v>
      </c>
      <c r="T331" s="51">
        <v>43678</v>
      </c>
      <c r="U331" s="25"/>
      <c r="V331" s="25"/>
      <c r="W331" s="25" t="s">
        <v>1418</v>
      </c>
      <c r="X331" s="25" t="s">
        <v>1419</v>
      </c>
      <c r="Y331" s="25"/>
      <c r="Z331" s="25"/>
      <c r="AA331" s="25"/>
      <c r="AB331" s="25"/>
      <c r="AC331" s="25" t="str">
        <f>TRIM(StudentScore[[#This Row],[Student Email]])</f>
        <v>haowen.yan@student.mahidol.ac.th</v>
      </c>
    </row>
    <row r="332" spans="1:29" ht="27">
      <c r="A332" s="15">
        <v>326</v>
      </c>
      <c r="B332" s="16">
        <f t="shared" si="18"/>
        <v>62</v>
      </c>
      <c r="C332" s="27">
        <f t="shared" si="19"/>
        <v>2022</v>
      </c>
      <c r="D332" s="54"/>
      <c r="E332" s="17">
        <v>6288205</v>
      </c>
      <c r="F332" s="14" t="s">
        <v>38</v>
      </c>
      <c r="G332" s="14" t="s">
        <v>1420</v>
      </c>
      <c r="H332" s="18" t="s">
        <v>1417</v>
      </c>
      <c r="I332" s="25" t="s">
        <v>124</v>
      </c>
      <c r="J332" s="25">
        <v>5.5</v>
      </c>
      <c r="K332" s="25">
        <v>5</v>
      </c>
      <c r="L332" s="25">
        <v>5</v>
      </c>
      <c r="M332" s="25">
        <v>5.5</v>
      </c>
      <c r="N332" s="25">
        <v>5.5</v>
      </c>
      <c r="O332" s="25"/>
      <c r="P332" s="25"/>
      <c r="Q332" s="25"/>
      <c r="R332" s="25"/>
      <c r="S332" s="35">
        <v>43533</v>
      </c>
      <c r="T332" s="51">
        <v>43678</v>
      </c>
      <c r="U332" s="25"/>
      <c r="V332" s="25"/>
      <c r="W332" s="25" t="s">
        <v>1421</v>
      </c>
      <c r="X332" s="25" t="s">
        <v>1422</v>
      </c>
      <c r="Y332" s="25"/>
      <c r="Z332" s="25"/>
      <c r="AA332" s="25"/>
      <c r="AB332" s="25"/>
      <c r="AC332" s="25" t="str">
        <f>TRIM(StudentScore[[#This Row],[Student Email]])</f>
        <v>yuanqin.yan@student.mahidol.ac.th</v>
      </c>
    </row>
    <row r="333" spans="1:29" ht="27">
      <c r="A333" s="15">
        <v>327</v>
      </c>
      <c r="B333" s="16">
        <f t="shared" si="18"/>
        <v>62</v>
      </c>
      <c r="C333" s="27">
        <f t="shared" si="19"/>
        <v>2022</v>
      </c>
      <c r="D333" s="54"/>
      <c r="E333" s="17">
        <v>6288206</v>
      </c>
      <c r="F333" s="14" t="s">
        <v>117</v>
      </c>
      <c r="G333" s="14" t="s">
        <v>1423</v>
      </c>
      <c r="H333" s="18" t="s">
        <v>1424</v>
      </c>
      <c r="I333" s="25" t="s">
        <v>244</v>
      </c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 t="s">
        <v>1425</v>
      </c>
      <c r="Y333" s="25"/>
      <c r="Z333" s="25"/>
      <c r="AA333" s="25"/>
      <c r="AB333" s="25"/>
      <c r="AC333" s="25" t="str">
        <f>TRIM(StudentScore[[#This Row],[Student Email]])</f>
        <v>yaxi.zha@student.mahidol.ac.th</v>
      </c>
    </row>
    <row r="334" spans="1:29" ht="27">
      <c r="A334" s="15">
        <v>328</v>
      </c>
      <c r="B334" s="16">
        <f t="shared" si="18"/>
        <v>62</v>
      </c>
      <c r="C334" s="27">
        <f t="shared" si="19"/>
        <v>2022</v>
      </c>
      <c r="D334" s="54"/>
      <c r="E334" s="17">
        <v>6288207</v>
      </c>
      <c r="F334" s="14" t="s">
        <v>117</v>
      </c>
      <c r="G334" s="14" t="s">
        <v>1426</v>
      </c>
      <c r="H334" s="18" t="s">
        <v>1427</v>
      </c>
      <c r="I334" s="25" t="s">
        <v>244</v>
      </c>
      <c r="J334" s="25">
        <v>5.5</v>
      </c>
      <c r="K334" s="25">
        <v>5</v>
      </c>
      <c r="L334" s="25">
        <v>5.5</v>
      </c>
      <c r="M334" s="25">
        <v>5</v>
      </c>
      <c r="N334" s="25">
        <v>5.5</v>
      </c>
      <c r="O334" s="25"/>
      <c r="P334" s="25"/>
      <c r="Q334" s="25"/>
      <c r="R334" s="25"/>
      <c r="S334" s="35">
        <v>43512</v>
      </c>
      <c r="T334" s="51">
        <v>43678</v>
      </c>
      <c r="U334" s="25"/>
      <c r="V334" s="25"/>
      <c r="W334" s="25"/>
      <c r="X334" s="25" t="s">
        <v>1428</v>
      </c>
      <c r="Y334" s="25"/>
      <c r="Z334" s="25"/>
      <c r="AA334" s="25"/>
      <c r="AB334" s="25"/>
      <c r="AC334" s="25" t="str">
        <f>TRIM(StudentScore[[#This Row],[Student Email]])</f>
        <v>zixi.zho@student.mahidol.ac.th</v>
      </c>
    </row>
    <row r="335" spans="1:29" ht="27">
      <c r="A335" s="15">
        <v>329</v>
      </c>
      <c r="B335" s="16">
        <f t="shared" si="18"/>
        <v>62</v>
      </c>
      <c r="C335" s="27">
        <f t="shared" si="19"/>
        <v>2022</v>
      </c>
      <c r="D335" s="54"/>
      <c r="E335" s="17">
        <v>6288208</v>
      </c>
      <c r="F335" s="14" t="s">
        <v>38</v>
      </c>
      <c r="G335" s="14" t="s">
        <v>1429</v>
      </c>
      <c r="H335" s="18" t="s">
        <v>1430</v>
      </c>
      <c r="I335" s="25" t="s">
        <v>64</v>
      </c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 t="s">
        <v>1431</v>
      </c>
      <c r="X335" s="25" t="s">
        <v>1432</v>
      </c>
      <c r="Y335" s="25"/>
      <c r="Z335" s="25"/>
      <c r="AA335" s="25"/>
      <c r="AB335" s="25"/>
      <c r="AC335" s="25" t="str">
        <f>TRIM(StudentScore[[#This Row],[Student Email]])</f>
        <v>nitayasit.cha@student.mahidol.ac.th</v>
      </c>
    </row>
    <row r="336" spans="1:29" ht="27">
      <c r="A336" s="15">
        <v>330</v>
      </c>
      <c r="B336" s="16">
        <f t="shared" si="18"/>
        <v>62</v>
      </c>
      <c r="C336" s="27">
        <f t="shared" si="19"/>
        <v>2022</v>
      </c>
      <c r="D336" s="54"/>
      <c r="E336" s="17">
        <v>6288212</v>
      </c>
      <c r="F336" s="14" t="s">
        <v>117</v>
      </c>
      <c r="G336" s="14" t="s">
        <v>1433</v>
      </c>
      <c r="H336" s="18" t="s">
        <v>1434</v>
      </c>
      <c r="I336" s="25" t="s">
        <v>102</v>
      </c>
      <c r="J336" s="25">
        <v>81</v>
      </c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 t="s">
        <v>1435</v>
      </c>
      <c r="X336" s="25" t="s">
        <v>1436</v>
      </c>
      <c r="Y336" s="25"/>
      <c r="Z336" s="25"/>
      <c r="AA336" s="25"/>
      <c r="AB336" s="25"/>
      <c r="AC336" s="25" t="str">
        <f>TRIM(StudentScore[[#This Row],[Student Email]])</f>
        <v>paveena.hon@student.mahidol.ac.th</v>
      </c>
    </row>
    <row r="337" spans="1:29" ht="27">
      <c r="A337" s="15">
        <v>331</v>
      </c>
      <c r="B337" s="16">
        <f t="shared" si="18"/>
        <v>62</v>
      </c>
      <c r="C337" s="27">
        <f t="shared" si="19"/>
        <v>2022</v>
      </c>
      <c r="D337" s="54"/>
      <c r="E337" s="17">
        <v>6288215</v>
      </c>
      <c r="F337" s="14" t="s">
        <v>38</v>
      </c>
      <c r="G337" s="14" t="s">
        <v>447</v>
      </c>
      <c r="H337" s="18" t="s">
        <v>1437</v>
      </c>
      <c r="I337" s="25" t="s">
        <v>102</v>
      </c>
      <c r="J337" s="25">
        <v>79</v>
      </c>
      <c r="K337" s="25"/>
      <c r="L337" s="25"/>
      <c r="M337" s="25"/>
      <c r="N337" s="25"/>
      <c r="O337" s="25"/>
      <c r="P337" s="25"/>
      <c r="Q337" s="25"/>
      <c r="R337" s="25"/>
      <c r="S337" s="25"/>
      <c r="T337" s="51">
        <v>44531</v>
      </c>
      <c r="U337" s="25"/>
      <c r="V337" s="25"/>
      <c r="W337" s="25" t="s">
        <v>1438</v>
      </c>
      <c r="X337" s="25" t="s">
        <v>1439</v>
      </c>
      <c r="Y337" s="25"/>
      <c r="Z337" s="25"/>
      <c r="AA337" s="25"/>
      <c r="AB337" s="25"/>
      <c r="AC337" s="25" t="str">
        <f>TRIM(StudentScore[[#This Row],[Student Email]])</f>
        <v>napat.pag@student.mahidol.ac.th</v>
      </c>
    </row>
    <row r="338" spans="1:29" ht="27">
      <c r="A338" s="15">
        <v>332</v>
      </c>
      <c r="B338" s="16">
        <f t="shared" si="18"/>
        <v>62</v>
      </c>
      <c r="C338" s="27">
        <f t="shared" si="19"/>
        <v>2022</v>
      </c>
      <c r="D338" s="54"/>
      <c r="E338" s="17">
        <v>6288216</v>
      </c>
      <c r="F338" s="14" t="s">
        <v>38</v>
      </c>
      <c r="G338" s="14" t="s">
        <v>1440</v>
      </c>
      <c r="H338" s="18" t="s">
        <v>1441</v>
      </c>
      <c r="I338" s="25" t="s">
        <v>64</v>
      </c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 t="s">
        <v>1442</v>
      </c>
      <c r="X338" s="25" t="s">
        <v>1443</v>
      </c>
      <c r="Y338" s="25"/>
      <c r="Z338" s="25"/>
      <c r="AA338" s="25"/>
      <c r="AB338" s="25"/>
      <c r="AC338" s="25" t="str">
        <f>TRIM(StudentScore[[#This Row],[Student Email]])</f>
        <v>sirachai.phu@student.mahidol.ac.th</v>
      </c>
    </row>
    <row r="339" spans="1:29" ht="27">
      <c r="A339" s="15">
        <v>333</v>
      </c>
      <c r="B339" s="16">
        <f t="shared" si="18"/>
        <v>62</v>
      </c>
      <c r="C339" s="27">
        <f t="shared" si="19"/>
        <v>2022</v>
      </c>
      <c r="D339" s="54"/>
      <c r="E339" s="17">
        <v>6288218</v>
      </c>
      <c r="F339" s="14" t="s">
        <v>38</v>
      </c>
      <c r="G339" s="14" t="s">
        <v>1444</v>
      </c>
      <c r="H339" s="18" t="s">
        <v>1445</v>
      </c>
      <c r="I339" s="25" t="s">
        <v>41</v>
      </c>
      <c r="J339" s="25">
        <v>543</v>
      </c>
      <c r="K339" s="25">
        <v>55</v>
      </c>
      <c r="L339" s="25">
        <v>56</v>
      </c>
      <c r="M339" s="25">
        <v>52</v>
      </c>
      <c r="N339" s="25"/>
      <c r="O339" s="25"/>
      <c r="P339" s="25"/>
      <c r="Q339" s="25"/>
      <c r="R339" s="25"/>
      <c r="S339" s="35">
        <v>44754</v>
      </c>
      <c r="T339" s="51">
        <v>44774</v>
      </c>
      <c r="U339" s="25"/>
      <c r="V339" s="25"/>
      <c r="W339" s="25" t="s">
        <v>1446</v>
      </c>
      <c r="X339" s="25" t="s">
        <v>1447</v>
      </c>
      <c r="Y339" s="25"/>
      <c r="Z339" s="25"/>
      <c r="AA339" s="25"/>
      <c r="AB339" s="25"/>
      <c r="AC339" s="25" t="str">
        <f>TRIM(StudentScore[[#This Row],[Student Email]])</f>
        <v>charnnarong.rit@student.mahidol.ac.th</v>
      </c>
    </row>
    <row r="340" spans="1:29" ht="27">
      <c r="A340" s="15">
        <v>334</v>
      </c>
      <c r="B340" s="16">
        <f t="shared" si="18"/>
        <v>62</v>
      </c>
      <c r="C340" s="27">
        <f t="shared" si="19"/>
        <v>2022</v>
      </c>
      <c r="D340" s="54"/>
      <c r="E340" s="17">
        <v>6288219</v>
      </c>
      <c r="F340" s="14" t="s">
        <v>38</v>
      </c>
      <c r="G340" s="14" t="s">
        <v>1448</v>
      </c>
      <c r="H340" s="18" t="s">
        <v>1449</v>
      </c>
      <c r="I340" s="25" t="s">
        <v>102</v>
      </c>
      <c r="J340" s="25">
        <v>82</v>
      </c>
      <c r="K340" s="25"/>
      <c r="L340" s="25"/>
      <c r="M340" s="25"/>
      <c r="N340" s="25"/>
      <c r="O340" s="25"/>
      <c r="P340" s="25"/>
      <c r="Q340" s="25"/>
      <c r="R340" s="25"/>
      <c r="S340" s="25"/>
      <c r="T340" s="51">
        <v>44531</v>
      </c>
      <c r="U340" s="25"/>
      <c r="V340" s="25"/>
      <c r="W340" s="25" t="s">
        <v>1450</v>
      </c>
      <c r="X340" s="25" t="s">
        <v>1451</v>
      </c>
      <c r="Y340" s="25"/>
      <c r="Z340" s="25"/>
      <c r="AA340" s="25"/>
      <c r="AB340" s="25"/>
      <c r="AC340" s="25" t="str">
        <f>TRIM(StudentScore[[#This Row],[Student Email]])</f>
        <v>porsuk.run@student.mahidol.ac.th</v>
      </c>
    </row>
    <row r="341" spans="1:29" ht="27">
      <c r="A341" s="15">
        <v>335</v>
      </c>
      <c r="B341" s="16">
        <f t="shared" si="18"/>
        <v>62</v>
      </c>
      <c r="C341" s="27">
        <f t="shared" si="19"/>
        <v>2022</v>
      </c>
      <c r="D341" s="54"/>
      <c r="E341" s="17">
        <v>6288221</v>
      </c>
      <c r="F341" s="14" t="s">
        <v>38</v>
      </c>
      <c r="G341" s="14" t="s">
        <v>1452</v>
      </c>
      <c r="H341" s="18" t="s">
        <v>1453</v>
      </c>
      <c r="I341" s="25" t="s">
        <v>244</v>
      </c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 t="s">
        <v>1454</v>
      </c>
      <c r="Y341" s="25"/>
      <c r="Z341" s="25"/>
      <c r="AA341" s="25"/>
      <c r="AB341" s="25"/>
      <c r="AC341" s="25" t="str">
        <f>TRIM(StudentScore[[#This Row],[Student Email]])</f>
        <v>wuttiphong.sri@student.mahidol.ac.th</v>
      </c>
    </row>
    <row r="342" spans="1:29" ht="27">
      <c r="A342" s="15">
        <v>336</v>
      </c>
      <c r="B342" s="16">
        <f t="shared" si="18"/>
        <v>62</v>
      </c>
      <c r="C342" s="27">
        <f t="shared" si="19"/>
        <v>2022</v>
      </c>
      <c r="D342" s="54"/>
      <c r="E342" s="17">
        <v>6288222</v>
      </c>
      <c r="F342" s="14" t="s">
        <v>38</v>
      </c>
      <c r="G342" s="14" t="s">
        <v>1455</v>
      </c>
      <c r="H342" s="18" t="s">
        <v>1456</v>
      </c>
      <c r="I342" s="25" t="s">
        <v>102</v>
      </c>
      <c r="J342" s="25">
        <v>77</v>
      </c>
      <c r="K342" s="25"/>
      <c r="L342" s="25"/>
      <c r="M342" s="25"/>
      <c r="N342" s="25"/>
      <c r="O342" s="25"/>
      <c r="P342" s="25"/>
      <c r="Q342" s="25"/>
      <c r="R342" s="25"/>
      <c r="S342" s="25"/>
      <c r="T342" s="51">
        <v>44531</v>
      </c>
      <c r="U342" s="25"/>
      <c r="V342" s="25"/>
      <c r="W342" s="25" t="s">
        <v>1457</v>
      </c>
      <c r="X342" s="25" t="s">
        <v>1458</v>
      </c>
      <c r="Y342" s="25"/>
      <c r="Z342" s="25"/>
      <c r="AA342" s="25"/>
      <c r="AB342" s="25"/>
      <c r="AC342" s="25" t="str">
        <f>TRIM(StudentScore[[#This Row],[Student Email]])</f>
        <v>deven.tiw@student.mahidol.ac.th</v>
      </c>
    </row>
    <row r="343" spans="1:29" ht="27">
      <c r="A343" s="15">
        <v>337</v>
      </c>
      <c r="B343" s="16">
        <f t="shared" ref="B343:B351" si="20">VALUE(LEFT(E343,2))</f>
        <v>63</v>
      </c>
      <c r="C343" s="27">
        <f t="shared" ref="C343:C351" si="21">VALUE("25"&amp;B343)-543+3</f>
        <v>2023</v>
      </c>
      <c r="D343" s="54"/>
      <c r="E343" s="17">
        <v>6388001</v>
      </c>
      <c r="F343" s="14" t="s">
        <v>38</v>
      </c>
      <c r="G343" s="14" t="s">
        <v>1459</v>
      </c>
      <c r="H343" s="18" t="s">
        <v>1460</v>
      </c>
      <c r="I343" s="25" t="s">
        <v>102</v>
      </c>
      <c r="J343" s="25">
        <v>76</v>
      </c>
      <c r="K343" s="25"/>
      <c r="L343" s="25"/>
      <c r="M343" s="25"/>
      <c r="N343" s="25"/>
      <c r="O343" s="25"/>
      <c r="P343" s="25"/>
      <c r="Q343" s="25"/>
      <c r="R343" s="25"/>
      <c r="S343" s="25"/>
      <c r="T343" s="51">
        <v>44531</v>
      </c>
      <c r="U343" s="25"/>
      <c r="V343" s="25"/>
      <c r="W343" s="25" t="s">
        <v>1461</v>
      </c>
      <c r="X343" s="25" t="s">
        <v>1462</v>
      </c>
      <c r="Y343" s="25"/>
      <c r="Z343" s="25"/>
      <c r="AA343" s="25"/>
      <c r="AB343" s="25"/>
      <c r="AC343" s="25" t="str">
        <f>TRIM(StudentScore[[#This Row],[Student Email]])</f>
        <v>phumtham.akk@student.mahidol.ac.th</v>
      </c>
    </row>
    <row r="344" spans="1:29" ht="27">
      <c r="A344" s="15">
        <v>338</v>
      </c>
      <c r="B344" s="16">
        <f t="shared" si="20"/>
        <v>63</v>
      </c>
      <c r="C344" s="27">
        <f t="shared" si="21"/>
        <v>2023</v>
      </c>
      <c r="D344" s="54"/>
      <c r="E344" s="17">
        <v>6388002</v>
      </c>
      <c r="F344" s="14" t="s">
        <v>38</v>
      </c>
      <c r="G344" s="14" t="s">
        <v>1463</v>
      </c>
      <c r="H344" s="18" t="s">
        <v>1464</v>
      </c>
      <c r="I344" s="25" t="s">
        <v>124</v>
      </c>
      <c r="J344" s="25">
        <v>7</v>
      </c>
      <c r="K344" s="25">
        <v>7</v>
      </c>
      <c r="L344" s="25">
        <v>8</v>
      </c>
      <c r="M344" s="25">
        <v>6.5</v>
      </c>
      <c r="N344" s="25">
        <v>6</v>
      </c>
      <c r="O344" s="25"/>
      <c r="P344" s="25"/>
      <c r="Q344" s="25"/>
      <c r="R344" s="25"/>
      <c r="S344" s="35">
        <v>44142</v>
      </c>
      <c r="T344" s="51">
        <v>44287</v>
      </c>
      <c r="U344" s="25"/>
      <c r="V344" s="25"/>
      <c r="W344" s="25" t="s">
        <v>1465</v>
      </c>
      <c r="X344" s="25" t="s">
        <v>1466</v>
      </c>
      <c r="Y344" s="25"/>
      <c r="Z344" s="25"/>
      <c r="AA344" s="25"/>
      <c r="AB344" s="25"/>
      <c r="AC344" s="25" t="str">
        <f>TRIM(StudentScore[[#This Row],[Student Email]])</f>
        <v>phuthana.amp@student.mahidol.ac.th</v>
      </c>
    </row>
    <row r="345" spans="1:29" ht="27">
      <c r="A345" s="15">
        <v>339</v>
      </c>
      <c r="B345" s="16">
        <f t="shared" si="20"/>
        <v>63</v>
      </c>
      <c r="C345" s="27">
        <f t="shared" si="21"/>
        <v>2023</v>
      </c>
      <c r="D345" s="54"/>
      <c r="E345" s="17">
        <v>6388003</v>
      </c>
      <c r="F345" s="14" t="s">
        <v>38</v>
      </c>
      <c r="G345" s="14" t="s">
        <v>1467</v>
      </c>
      <c r="H345" s="18" t="s">
        <v>1468</v>
      </c>
      <c r="I345" s="25" t="s">
        <v>48</v>
      </c>
      <c r="J345" s="25">
        <v>765</v>
      </c>
      <c r="K345" s="25">
        <v>445</v>
      </c>
      <c r="L345" s="25">
        <v>320</v>
      </c>
      <c r="M345" s="25"/>
      <c r="N345" s="25"/>
      <c r="O345" s="25"/>
      <c r="P345" s="25"/>
      <c r="Q345" s="25"/>
      <c r="R345" s="25"/>
      <c r="S345" s="35">
        <v>44279</v>
      </c>
      <c r="T345" s="51">
        <v>44287</v>
      </c>
      <c r="U345" s="25"/>
      <c r="V345" s="25"/>
      <c r="W345" s="25" t="s">
        <v>1469</v>
      </c>
      <c r="X345" s="25" t="s">
        <v>1470</v>
      </c>
      <c r="Y345" s="25"/>
      <c r="Z345" s="25"/>
      <c r="AA345" s="25"/>
      <c r="AB345" s="25"/>
      <c r="AC345" s="25" t="str">
        <f>TRIM(StudentScore[[#This Row],[Student Email]])</f>
        <v>phuriwat.ang@student.mahidol.ac.th</v>
      </c>
    </row>
    <row r="346" spans="1:29" ht="27">
      <c r="A346" s="15">
        <v>340</v>
      </c>
      <c r="B346" s="16">
        <f t="shared" si="20"/>
        <v>63</v>
      </c>
      <c r="C346" s="27">
        <f t="shared" si="21"/>
        <v>2023</v>
      </c>
      <c r="D346" s="54"/>
      <c r="E346" s="17">
        <v>6388004</v>
      </c>
      <c r="F346" s="14" t="s">
        <v>117</v>
      </c>
      <c r="G346" s="14" t="s">
        <v>1471</v>
      </c>
      <c r="H346" s="18" t="s">
        <v>1472</v>
      </c>
      <c r="I346" s="25" t="s">
        <v>53</v>
      </c>
      <c r="J346" s="25">
        <v>117</v>
      </c>
      <c r="K346" s="25"/>
      <c r="L346" s="25"/>
      <c r="M346" s="25"/>
      <c r="N346" s="25"/>
      <c r="O346" s="25"/>
      <c r="P346" s="25"/>
      <c r="Q346" s="25"/>
      <c r="R346" s="25"/>
      <c r="S346" s="35">
        <v>44083</v>
      </c>
      <c r="T346" s="51">
        <v>44105</v>
      </c>
      <c r="U346" s="25"/>
      <c r="V346" s="25"/>
      <c r="W346" s="25" t="s">
        <v>1473</v>
      </c>
      <c r="X346" s="25" t="s">
        <v>1474</v>
      </c>
      <c r="Y346" s="25"/>
      <c r="Z346" s="25"/>
      <c r="AA346" s="25"/>
      <c r="AB346" s="25"/>
      <c r="AC346" s="25" t="str">
        <f>TRIM(StudentScore[[#This Row],[Student Email]])</f>
        <v>nipphit.api@student.mahidol.ac.th</v>
      </c>
    </row>
    <row r="347" spans="1:29" ht="27">
      <c r="A347" s="15">
        <v>341</v>
      </c>
      <c r="B347" s="16">
        <f t="shared" si="20"/>
        <v>63</v>
      </c>
      <c r="C347" s="27">
        <f t="shared" si="21"/>
        <v>2023</v>
      </c>
      <c r="D347" s="54"/>
      <c r="E347" s="17">
        <v>6388005</v>
      </c>
      <c r="F347" s="14" t="s">
        <v>38</v>
      </c>
      <c r="G347" s="14" t="s">
        <v>1475</v>
      </c>
      <c r="H347" s="18" t="s">
        <v>1476</v>
      </c>
      <c r="I347" s="25" t="s">
        <v>48</v>
      </c>
      <c r="J347" s="25">
        <v>755</v>
      </c>
      <c r="K347" s="25">
        <v>420</v>
      </c>
      <c r="L347" s="25">
        <v>335</v>
      </c>
      <c r="M347" s="25"/>
      <c r="N347" s="25"/>
      <c r="O347" s="25"/>
      <c r="P347" s="25"/>
      <c r="Q347" s="25"/>
      <c r="R347" s="25"/>
      <c r="S347" s="35">
        <v>45028</v>
      </c>
      <c r="T347" s="35">
        <v>45041</v>
      </c>
      <c r="U347" s="25"/>
      <c r="V347" s="25"/>
      <c r="W347" s="25" t="s">
        <v>1477</v>
      </c>
      <c r="X347" s="25" t="s">
        <v>1478</v>
      </c>
      <c r="Y347" s="25"/>
      <c r="Z347" s="25"/>
      <c r="AA347" s="25"/>
      <c r="AB347" s="25"/>
      <c r="AC347" s="25" t="str">
        <f>TRIM(StudentScore[[#This Row],[Student Email]])</f>
        <v>korsawat.bai@student.mahidol.ac.th</v>
      </c>
    </row>
    <row r="348" spans="1:29" ht="27">
      <c r="A348" s="15">
        <v>342</v>
      </c>
      <c r="B348" s="16">
        <f t="shared" si="20"/>
        <v>63</v>
      </c>
      <c r="C348" s="27">
        <f t="shared" si="21"/>
        <v>2023</v>
      </c>
      <c r="D348" s="54"/>
      <c r="E348" s="17">
        <v>6388006</v>
      </c>
      <c r="F348" s="14" t="s">
        <v>117</v>
      </c>
      <c r="G348" s="14" t="s">
        <v>1479</v>
      </c>
      <c r="H348" s="18" t="s">
        <v>1480</v>
      </c>
      <c r="I348" s="25" t="s">
        <v>244</v>
      </c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 t="s">
        <v>1481</v>
      </c>
      <c r="X348" s="25" t="s">
        <v>1482</v>
      </c>
      <c r="Y348" s="25"/>
      <c r="Z348" s="25"/>
      <c r="AA348" s="25"/>
      <c r="AB348" s="25"/>
      <c r="AC348" s="25" t="str">
        <f>TRIM(StudentScore[[#This Row],[Student Email]])</f>
        <v>thipsupha.ban@student.mahidol.ac.th</v>
      </c>
    </row>
    <row r="349" spans="1:29" ht="27">
      <c r="A349" s="15">
        <v>343</v>
      </c>
      <c r="B349" s="16">
        <f t="shared" si="20"/>
        <v>63</v>
      </c>
      <c r="C349" s="27">
        <f t="shared" si="21"/>
        <v>2023</v>
      </c>
      <c r="D349" s="54"/>
      <c r="E349" s="17">
        <v>6388007</v>
      </c>
      <c r="F349" s="14" t="s">
        <v>117</v>
      </c>
      <c r="G349" s="14" t="s">
        <v>1483</v>
      </c>
      <c r="H349" s="18" t="s">
        <v>1484</v>
      </c>
      <c r="I349" s="25" t="s">
        <v>48</v>
      </c>
      <c r="J349" s="25">
        <v>645</v>
      </c>
      <c r="K349" s="25">
        <v>285</v>
      </c>
      <c r="L349" s="25">
        <v>360</v>
      </c>
      <c r="M349" s="25"/>
      <c r="N349" s="25"/>
      <c r="O349" s="25"/>
      <c r="P349" s="25"/>
      <c r="Q349" s="25"/>
      <c r="R349" s="25"/>
      <c r="S349" s="35">
        <v>44090</v>
      </c>
      <c r="T349" s="51">
        <v>44075</v>
      </c>
      <c r="U349" s="25"/>
      <c r="V349" s="25"/>
      <c r="W349" s="25" t="s">
        <v>1485</v>
      </c>
      <c r="X349" s="25" t="s">
        <v>1486</v>
      </c>
      <c r="Y349" s="25"/>
      <c r="Z349" s="25"/>
      <c r="AA349" s="25"/>
      <c r="AB349" s="25"/>
      <c r="AC349" s="25" t="str">
        <f>TRIM(StudentScore[[#This Row],[Student Email]])</f>
        <v>promubsorn.boo@student.mahidol.ac.th</v>
      </c>
    </row>
    <row r="350" spans="1:29" ht="27">
      <c r="A350" s="15">
        <v>344</v>
      </c>
      <c r="B350" s="16">
        <f t="shared" si="20"/>
        <v>63</v>
      </c>
      <c r="C350" s="27">
        <f t="shared" si="21"/>
        <v>2023</v>
      </c>
      <c r="D350" s="54"/>
      <c r="E350" s="17">
        <v>6388008</v>
      </c>
      <c r="F350" s="14" t="s">
        <v>117</v>
      </c>
      <c r="G350" s="14" t="s">
        <v>1487</v>
      </c>
      <c r="H350" s="18" t="s">
        <v>1488</v>
      </c>
      <c r="I350" s="25" t="s">
        <v>124</v>
      </c>
      <c r="J350" s="25">
        <v>5.5</v>
      </c>
      <c r="K350" s="25">
        <v>4.5</v>
      </c>
      <c r="L350" s="25">
        <v>5.5</v>
      </c>
      <c r="M350" s="25">
        <v>5.5</v>
      </c>
      <c r="N350" s="25">
        <v>5.5</v>
      </c>
      <c r="O350" s="25"/>
      <c r="P350" s="25"/>
      <c r="Q350" s="25"/>
      <c r="R350" s="25"/>
      <c r="S350" s="35">
        <v>43736</v>
      </c>
      <c r="T350" s="51">
        <v>44044</v>
      </c>
      <c r="U350" s="25"/>
      <c r="V350" s="25"/>
      <c r="W350" s="25" t="s">
        <v>1489</v>
      </c>
      <c r="X350" s="25" t="s">
        <v>1490</v>
      </c>
      <c r="Y350" s="25"/>
      <c r="Z350" s="25"/>
      <c r="AA350" s="25"/>
      <c r="AB350" s="25"/>
      <c r="AC350" s="25" t="str">
        <f>TRIM(StudentScore[[#This Row],[Student Email]])</f>
        <v>kanyanut.bos@student.mahidol.ac.th</v>
      </c>
    </row>
    <row r="351" spans="1:29" ht="27">
      <c r="A351" s="15">
        <v>345</v>
      </c>
      <c r="B351" s="16">
        <f t="shared" si="20"/>
        <v>63</v>
      </c>
      <c r="C351" s="27">
        <f t="shared" si="21"/>
        <v>2023</v>
      </c>
      <c r="D351" s="54"/>
      <c r="E351" s="17">
        <v>6388009</v>
      </c>
      <c r="F351" s="14" t="s">
        <v>117</v>
      </c>
      <c r="G351" s="14" t="s">
        <v>1491</v>
      </c>
      <c r="H351" s="18" t="s">
        <v>1492</v>
      </c>
      <c r="I351" s="25" t="s">
        <v>64</v>
      </c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 t="s">
        <v>1493</v>
      </c>
      <c r="X351" s="25" t="s">
        <v>1494</v>
      </c>
      <c r="Y351" s="25"/>
      <c r="Z351" s="25"/>
      <c r="AA351" s="25"/>
      <c r="AB351" s="25"/>
      <c r="AC351" s="25" t="str">
        <f>TRIM(StudentScore[[#This Row],[Student Email]])</f>
        <v>runpilin.ana@student.mahidol.ac.th</v>
      </c>
    </row>
    <row r="352" spans="1:29" ht="27">
      <c r="A352" s="15">
        <v>346</v>
      </c>
      <c r="B352" s="16">
        <f t="shared" ref="B352:B359" si="22">VALUE(LEFT(E352,2))</f>
        <v>63</v>
      </c>
      <c r="C352" s="27">
        <f t="shared" ref="C352:C359" si="23">VALUE("25"&amp;B352)-543+3</f>
        <v>2023</v>
      </c>
      <c r="D352" s="54"/>
      <c r="E352" s="17">
        <v>6388010</v>
      </c>
      <c r="F352" s="14" t="s">
        <v>38</v>
      </c>
      <c r="G352" s="14" t="s">
        <v>1495</v>
      </c>
      <c r="H352" s="18" t="s">
        <v>1496</v>
      </c>
      <c r="I352" s="25" t="s">
        <v>64</v>
      </c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 t="s">
        <v>1497</v>
      </c>
      <c r="X352" s="25" t="s">
        <v>1498</v>
      </c>
      <c r="Y352" s="25"/>
      <c r="Z352" s="25"/>
      <c r="AA352" s="25"/>
      <c r="AB352" s="25"/>
      <c r="AC352" s="25" t="str">
        <f>TRIM(StudentScore[[#This Row],[Student Email]])</f>
        <v>teerapat.bur@student.mahidol.ac.th</v>
      </c>
    </row>
    <row r="353" spans="1:29" ht="27">
      <c r="A353" s="15">
        <v>347</v>
      </c>
      <c r="B353" s="16">
        <f t="shared" si="22"/>
        <v>63</v>
      </c>
      <c r="C353" s="27">
        <f t="shared" si="23"/>
        <v>2023</v>
      </c>
      <c r="D353" s="54"/>
      <c r="E353" s="17">
        <v>6388011</v>
      </c>
      <c r="F353" s="14" t="s">
        <v>117</v>
      </c>
      <c r="G353" s="14" t="s">
        <v>1499</v>
      </c>
      <c r="H353" s="18" t="s">
        <v>1500</v>
      </c>
      <c r="I353" s="25" t="s">
        <v>48</v>
      </c>
      <c r="J353" s="25">
        <v>955</v>
      </c>
      <c r="K353" s="25">
        <v>470</v>
      </c>
      <c r="L353" s="25">
        <v>485</v>
      </c>
      <c r="M353" s="25"/>
      <c r="N353" s="25"/>
      <c r="O353" s="25"/>
      <c r="P353" s="25"/>
      <c r="Q353" s="25"/>
      <c r="R353" s="25"/>
      <c r="S353" s="35">
        <v>44090</v>
      </c>
      <c r="T353" s="51">
        <v>44105</v>
      </c>
      <c r="U353" s="25"/>
      <c r="V353" s="25"/>
      <c r="W353" s="25" t="s">
        <v>1501</v>
      </c>
      <c r="X353" s="25" t="s">
        <v>1502</v>
      </c>
      <c r="Y353" s="25"/>
      <c r="Z353" s="25"/>
      <c r="AA353" s="25"/>
      <c r="AB353" s="25"/>
      <c r="AC353" s="25" t="str">
        <f>TRIM(StudentScore[[#This Row],[Student Email]])</f>
        <v>jidapa.chv@student.mahidol.ac.th</v>
      </c>
    </row>
    <row r="354" spans="1:29" ht="27">
      <c r="A354" s="15">
        <v>348</v>
      </c>
      <c r="B354" s="16">
        <f t="shared" si="22"/>
        <v>63</v>
      </c>
      <c r="C354" s="27">
        <f t="shared" si="23"/>
        <v>2023</v>
      </c>
      <c r="D354" s="54"/>
      <c r="E354" s="17">
        <v>6388012</v>
      </c>
      <c r="F354" s="14" t="s">
        <v>38</v>
      </c>
      <c r="G354" s="14" t="s">
        <v>1503</v>
      </c>
      <c r="H354" s="18" t="s">
        <v>1504</v>
      </c>
      <c r="I354" s="25" t="s">
        <v>133</v>
      </c>
      <c r="J354" s="25">
        <v>100</v>
      </c>
      <c r="K354" s="25"/>
      <c r="L354" s="25"/>
      <c r="M354" s="25"/>
      <c r="N354" s="25"/>
      <c r="O354" s="25"/>
      <c r="P354" s="25"/>
      <c r="Q354" s="25"/>
      <c r="R354" s="25"/>
      <c r="S354" s="35">
        <v>44213</v>
      </c>
      <c r="T354" s="51">
        <v>44197</v>
      </c>
      <c r="U354" s="25"/>
      <c r="V354" s="25"/>
      <c r="W354" s="25" t="s">
        <v>1505</v>
      </c>
      <c r="X354" s="25" t="s">
        <v>1506</v>
      </c>
      <c r="Y354" s="25"/>
      <c r="Z354" s="25"/>
      <c r="AA354" s="25"/>
      <c r="AB354" s="25"/>
      <c r="AC354" s="25" t="str">
        <f>TRIM(StudentScore[[#This Row],[Student Email]])</f>
        <v>rujiphart.cha@student.mahidol.ac.th</v>
      </c>
    </row>
    <row r="355" spans="1:29" ht="27">
      <c r="A355" s="15">
        <v>349</v>
      </c>
      <c r="B355" s="16">
        <f t="shared" si="22"/>
        <v>63</v>
      </c>
      <c r="C355" s="27">
        <f t="shared" si="23"/>
        <v>2023</v>
      </c>
      <c r="D355" s="54"/>
      <c r="E355" s="17">
        <v>6388013</v>
      </c>
      <c r="F355" s="14" t="s">
        <v>38</v>
      </c>
      <c r="G355" s="14" t="s">
        <v>1507</v>
      </c>
      <c r="H355" s="18" t="s">
        <v>1508</v>
      </c>
      <c r="I355" s="25" t="s">
        <v>124</v>
      </c>
      <c r="J355" s="25">
        <v>6</v>
      </c>
      <c r="K355" s="25">
        <v>6</v>
      </c>
      <c r="L355" s="25">
        <v>6</v>
      </c>
      <c r="M355" s="25">
        <v>5.5</v>
      </c>
      <c r="N355" s="25">
        <v>6</v>
      </c>
      <c r="O355" s="25"/>
      <c r="P355" s="25"/>
      <c r="Q355" s="25"/>
      <c r="R355" s="25"/>
      <c r="S355" s="26">
        <v>44863</v>
      </c>
      <c r="T355" s="35">
        <v>44886</v>
      </c>
      <c r="U355" s="25"/>
      <c r="V355" s="25"/>
      <c r="W355" s="25" t="s">
        <v>1509</v>
      </c>
      <c r="X355" s="25" t="s">
        <v>1510</v>
      </c>
      <c r="Y355" s="42">
        <v>44887.439293981479</v>
      </c>
      <c r="Z355" s="25" t="s">
        <v>1511</v>
      </c>
      <c r="AA355" s="25"/>
      <c r="AB355" s="25"/>
      <c r="AC355" s="25" t="str">
        <f>TRIM(StudentScore[[#This Row],[Student Email]])</f>
        <v>jomchai.cho@student.mahidol.ac.th</v>
      </c>
    </row>
    <row r="356" spans="1:29" ht="27">
      <c r="A356" s="15">
        <v>350</v>
      </c>
      <c r="B356" s="16">
        <f t="shared" si="22"/>
        <v>63</v>
      </c>
      <c r="C356" s="27">
        <f t="shared" si="23"/>
        <v>2023</v>
      </c>
      <c r="D356" s="54"/>
      <c r="E356" s="17">
        <v>6388014</v>
      </c>
      <c r="F356" s="14" t="s">
        <v>38</v>
      </c>
      <c r="G356" s="14" t="s">
        <v>1512</v>
      </c>
      <c r="H356" s="18" t="s">
        <v>1513</v>
      </c>
      <c r="I356" s="25" t="s">
        <v>64</v>
      </c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 t="s">
        <v>1514</v>
      </c>
      <c r="X356" s="25" t="s">
        <v>1515</v>
      </c>
      <c r="Y356" s="25"/>
      <c r="Z356" s="25"/>
      <c r="AA356" s="25"/>
      <c r="AB356" s="25"/>
      <c r="AC356" s="25" t="str">
        <f>TRIM(StudentScore[[#This Row],[Student Email]])</f>
        <v>waris.dam@student.mahidol.ac.th</v>
      </c>
    </row>
    <row r="357" spans="1:29" ht="27">
      <c r="A357" s="15">
        <v>351</v>
      </c>
      <c r="B357" s="16">
        <f t="shared" si="22"/>
        <v>63</v>
      </c>
      <c r="C357" s="27">
        <f t="shared" si="23"/>
        <v>2023</v>
      </c>
      <c r="D357" s="54"/>
      <c r="E357" s="17">
        <v>6388015</v>
      </c>
      <c r="F357" s="14" t="s">
        <v>38</v>
      </c>
      <c r="G357" s="14" t="s">
        <v>1516</v>
      </c>
      <c r="H357" s="18" t="s">
        <v>1517</v>
      </c>
      <c r="I357" s="25" t="s">
        <v>133</v>
      </c>
      <c r="J357" s="25">
        <v>130</v>
      </c>
      <c r="K357" s="25"/>
      <c r="L357" s="25"/>
      <c r="M357" s="25"/>
      <c r="N357" s="25"/>
      <c r="O357" s="25"/>
      <c r="P357" s="25"/>
      <c r="Q357" s="25"/>
      <c r="R357" s="25"/>
      <c r="S357" s="35">
        <v>44153</v>
      </c>
      <c r="T357" s="51">
        <v>44136</v>
      </c>
      <c r="U357" s="25"/>
      <c r="V357" s="25"/>
      <c r="W357" s="25" t="s">
        <v>1518</v>
      </c>
      <c r="X357" s="25" t="s">
        <v>1519</v>
      </c>
      <c r="Y357" s="25"/>
      <c r="Z357" s="25"/>
      <c r="AA357" s="25"/>
      <c r="AB357" s="25"/>
      <c r="AC357" s="25" t="str">
        <f>TRIM(StudentScore[[#This Row],[Student Email]])</f>
        <v>makornthawat.eme@student.mahidol.ac.th</v>
      </c>
    </row>
    <row r="358" spans="1:29" ht="27">
      <c r="A358" s="15">
        <v>352</v>
      </c>
      <c r="B358" s="16">
        <f t="shared" si="22"/>
        <v>63</v>
      </c>
      <c r="C358" s="27">
        <f t="shared" si="23"/>
        <v>2023</v>
      </c>
      <c r="D358" s="54"/>
      <c r="E358" s="17">
        <v>6388016</v>
      </c>
      <c r="F358" s="14" t="s">
        <v>38</v>
      </c>
      <c r="G358" s="14" t="s">
        <v>1520</v>
      </c>
      <c r="H358" s="18" t="s">
        <v>1521</v>
      </c>
      <c r="I358" s="25" t="s">
        <v>64</v>
      </c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 t="s">
        <v>1522</v>
      </c>
      <c r="X358" s="25" t="s">
        <v>1523</v>
      </c>
      <c r="Y358" s="25"/>
      <c r="Z358" s="25"/>
      <c r="AA358" s="25"/>
      <c r="AB358" s="25"/>
      <c r="AC358" s="25" t="str">
        <f>TRIM(StudentScore[[#This Row],[Student Email]])</f>
        <v>thanawath.hua@student.mahidol.ac.th</v>
      </c>
    </row>
    <row r="359" spans="1:29" ht="27">
      <c r="A359" s="15">
        <v>353</v>
      </c>
      <c r="B359" s="16">
        <f t="shared" si="22"/>
        <v>63</v>
      </c>
      <c r="C359" s="27">
        <f t="shared" si="23"/>
        <v>2023</v>
      </c>
      <c r="D359" s="54"/>
      <c r="E359" s="19">
        <v>6388017</v>
      </c>
      <c r="F359" s="20" t="s">
        <v>38</v>
      </c>
      <c r="G359" s="14" t="s">
        <v>1524</v>
      </c>
      <c r="H359" s="18" t="s">
        <v>1525</v>
      </c>
      <c r="I359" s="25" t="s">
        <v>133</v>
      </c>
      <c r="J359" s="25">
        <v>100</v>
      </c>
      <c r="K359" s="25"/>
      <c r="L359" s="25"/>
      <c r="M359" s="25"/>
      <c r="N359" s="25"/>
      <c r="O359" s="25"/>
      <c r="P359" s="25"/>
      <c r="Q359" s="25"/>
      <c r="R359" s="25"/>
      <c r="S359" s="35">
        <v>44168</v>
      </c>
      <c r="T359" s="51">
        <v>44166</v>
      </c>
      <c r="U359" s="25"/>
      <c r="V359" s="25"/>
      <c r="W359" s="25" t="s">
        <v>1526</v>
      </c>
      <c r="X359" s="25" t="s">
        <v>1527</v>
      </c>
      <c r="Y359" s="25"/>
      <c r="Z359" s="25"/>
      <c r="AA359" s="25"/>
      <c r="AB359" s="25"/>
      <c r="AC359" s="25" t="str">
        <f>TRIM(StudentScore[[#This Row],[Student Email]])</f>
        <v>jirat.imc@student.mahidol.ac.th</v>
      </c>
    </row>
    <row r="360" spans="1:29" ht="27">
      <c r="A360" s="15">
        <v>354</v>
      </c>
      <c r="B360" s="16">
        <f t="shared" ref="B360:B395" si="24">VALUE(LEFT(E360,2))</f>
        <v>63</v>
      </c>
      <c r="C360" s="27">
        <f t="shared" ref="C360:C395" si="25">VALUE("25"&amp;B360)-543+3</f>
        <v>2023</v>
      </c>
      <c r="D360" s="54"/>
      <c r="E360" s="21">
        <v>6388018</v>
      </c>
      <c r="F360" s="22" t="s">
        <v>38</v>
      </c>
      <c r="G360" s="14" t="s">
        <v>1528</v>
      </c>
      <c r="H360" s="18" t="s">
        <v>1529</v>
      </c>
      <c r="I360" s="25" t="s">
        <v>64</v>
      </c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 t="s">
        <v>1530</v>
      </c>
      <c r="X360" s="25" t="s">
        <v>1531</v>
      </c>
      <c r="Y360" s="25"/>
      <c r="Z360" s="25"/>
      <c r="AA360" s="25"/>
      <c r="AB360" s="25"/>
      <c r="AC360" s="25" t="str">
        <f>TRIM(StudentScore[[#This Row],[Student Email]])</f>
        <v>charnwit.jan@student.mahidol.ac.th</v>
      </c>
    </row>
    <row r="361" spans="1:29" ht="27">
      <c r="A361" s="15">
        <v>355</v>
      </c>
      <c r="B361" s="16">
        <f t="shared" si="24"/>
        <v>63</v>
      </c>
      <c r="C361" s="27">
        <f t="shared" si="25"/>
        <v>2023</v>
      </c>
      <c r="D361" s="54"/>
      <c r="E361" s="17">
        <v>6388019</v>
      </c>
      <c r="F361" s="14" t="s">
        <v>117</v>
      </c>
      <c r="G361" s="14" t="s">
        <v>1532</v>
      </c>
      <c r="H361" s="18" t="s">
        <v>1533</v>
      </c>
      <c r="I361" s="25" t="s">
        <v>102</v>
      </c>
      <c r="J361" s="25">
        <v>75</v>
      </c>
      <c r="K361" s="25"/>
      <c r="L361" s="25"/>
      <c r="M361" s="25"/>
      <c r="N361" s="25"/>
      <c r="O361" s="25"/>
      <c r="P361" s="25"/>
      <c r="Q361" s="25"/>
      <c r="R361" s="25"/>
      <c r="S361" s="25"/>
      <c r="T361" s="51">
        <v>44531</v>
      </c>
      <c r="U361" s="25"/>
      <c r="V361" s="25"/>
      <c r="W361" s="25" t="s">
        <v>1534</v>
      </c>
      <c r="X361" s="25" t="s">
        <v>1535</v>
      </c>
      <c r="Y361" s="25"/>
      <c r="Z361" s="25"/>
      <c r="AA361" s="25"/>
      <c r="AB361" s="25"/>
      <c r="AC361" s="25" t="str">
        <f>TRIM(StudentScore[[#This Row],[Student Email]])</f>
        <v>sorawanan.jea@student.mahidol.ac.th</v>
      </c>
    </row>
    <row r="362" spans="1:29" ht="27">
      <c r="A362" s="15">
        <v>356</v>
      </c>
      <c r="B362" s="16">
        <f t="shared" si="24"/>
        <v>63</v>
      </c>
      <c r="C362" s="27">
        <f t="shared" si="25"/>
        <v>2023</v>
      </c>
      <c r="D362" s="54"/>
      <c r="E362" s="17">
        <v>6388020</v>
      </c>
      <c r="F362" s="14" t="s">
        <v>117</v>
      </c>
      <c r="G362" s="14" t="s">
        <v>1536</v>
      </c>
      <c r="H362" s="18" t="s">
        <v>1537</v>
      </c>
      <c r="I362" s="25" t="s">
        <v>64</v>
      </c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 t="s">
        <v>1538</v>
      </c>
      <c r="X362" s="25" t="s">
        <v>1539</v>
      </c>
      <c r="Y362" s="25"/>
      <c r="Z362" s="25"/>
      <c r="AA362" s="25"/>
      <c r="AB362" s="25"/>
      <c r="AC362" s="25" t="str">
        <f>TRIM(StudentScore[[#This Row],[Student Email]])</f>
        <v>chalumphu.atj@student.mahidol.ac.th</v>
      </c>
    </row>
    <row r="363" spans="1:29" ht="27">
      <c r="A363" s="15">
        <v>357</v>
      </c>
      <c r="B363" s="16">
        <f t="shared" si="24"/>
        <v>63</v>
      </c>
      <c r="C363" s="27">
        <f t="shared" si="25"/>
        <v>2023</v>
      </c>
      <c r="D363" s="54"/>
      <c r="E363" s="17">
        <v>6388021</v>
      </c>
      <c r="F363" s="14" t="s">
        <v>38</v>
      </c>
      <c r="G363" s="14" t="s">
        <v>184</v>
      </c>
      <c r="H363" s="18" t="s">
        <v>1540</v>
      </c>
      <c r="I363" s="25" t="s">
        <v>48</v>
      </c>
      <c r="J363" s="25">
        <v>655</v>
      </c>
      <c r="K363" s="25">
        <v>385</v>
      </c>
      <c r="L363" s="25">
        <v>270</v>
      </c>
      <c r="M363" s="25"/>
      <c r="N363" s="25"/>
      <c r="O363" s="25"/>
      <c r="P363" s="25"/>
      <c r="Q363" s="25"/>
      <c r="R363" s="25"/>
      <c r="S363" s="35">
        <v>44153</v>
      </c>
      <c r="T363" s="51">
        <v>44136</v>
      </c>
      <c r="U363" s="25"/>
      <c r="V363" s="25"/>
      <c r="W363" s="25" t="s">
        <v>1541</v>
      </c>
      <c r="X363" s="25" t="s">
        <v>1542</v>
      </c>
      <c r="Y363" s="25"/>
      <c r="Z363" s="25"/>
      <c r="AA363" s="25"/>
      <c r="AB363" s="25"/>
      <c r="AC363" s="25" t="str">
        <f>TRIM(StudentScore[[#This Row],[Student Email]])</f>
        <v>thanawat.kaj@student.mahidol.ac.th</v>
      </c>
    </row>
    <row r="364" spans="1:29" ht="27">
      <c r="A364" s="15">
        <v>358</v>
      </c>
      <c r="B364" s="16">
        <f t="shared" si="24"/>
        <v>63</v>
      </c>
      <c r="C364" s="27">
        <f t="shared" si="25"/>
        <v>2023</v>
      </c>
      <c r="D364" s="54"/>
      <c r="E364" s="17">
        <v>6388022</v>
      </c>
      <c r="F364" s="14" t="s">
        <v>117</v>
      </c>
      <c r="G364" s="14" t="s">
        <v>1543</v>
      </c>
      <c r="H364" s="18" t="s">
        <v>1544</v>
      </c>
      <c r="I364" s="25" t="s">
        <v>64</v>
      </c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 t="s">
        <v>1545</v>
      </c>
      <c r="X364" s="25" t="s">
        <v>1546</v>
      </c>
      <c r="Y364" s="25"/>
      <c r="Z364" s="25"/>
      <c r="AA364" s="25"/>
      <c r="AB364" s="25"/>
      <c r="AC364" s="25" t="str">
        <f>TRIM(StudentScore[[#This Row],[Student Email]])</f>
        <v>pattanan.kor@student.mahidol.ac.th</v>
      </c>
    </row>
    <row r="365" spans="1:29" ht="27">
      <c r="A365" s="15">
        <v>359</v>
      </c>
      <c r="B365" s="16">
        <f t="shared" si="24"/>
        <v>63</v>
      </c>
      <c r="C365" s="27">
        <f t="shared" si="25"/>
        <v>2023</v>
      </c>
      <c r="D365" s="54"/>
      <c r="E365" s="17">
        <v>6388023</v>
      </c>
      <c r="F365" s="14" t="s">
        <v>38</v>
      </c>
      <c r="G365" s="14" t="s">
        <v>1547</v>
      </c>
      <c r="H365" s="18" t="s">
        <v>1548</v>
      </c>
      <c r="I365" s="25" t="s">
        <v>48</v>
      </c>
      <c r="J365" s="25">
        <v>730</v>
      </c>
      <c r="K365" s="25">
        <v>415</v>
      </c>
      <c r="L365" s="25">
        <v>315</v>
      </c>
      <c r="M365" s="25"/>
      <c r="N365" s="25"/>
      <c r="O365" s="25"/>
      <c r="P365" s="25"/>
      <c r="Q365" s="25"/>
      <c r="R365" s="25"/>
      <c r="S365" s="35">
        <v>45028</v>
      </c>
      <c r="T365" s="35">
        <v>45041</v>
      </c>
      <c r="U365" s="25"/>
      <c r="V365" s="25"/>
      <c r="W365" s="25" t="s">
        <v>1549</v>
      </c>
      <c r="X365" s="25" t="s">
        <v>1550</v>
      </c>
      <c r="Y365" s="25"/>
      <c r="Z365" s="25"/>
      <c r="AA365" s="25"/>
      <c r="AB365" s="25"/>
      <c r="AC365" s="25" t="str">
        <f>TRIM(StudentScore[[#This Row],[Student Email]])</f>
        <v>kongkiet.kuc@student.mahidol.ac.th</v>
      </c>
    </row>
    <row r="366" spans="1:29" ht="27">
      <c r="A366" s="15">
        <v>360</v>
      </c>
      <c r="B366" s="16">
        <f t="shared" si="24"/>
        <v>63</v>
      </c>
      <c r="C366" s="27">
        <f t="shared" si="25"/>
        <v>2023</v>
      </c>
      <c r="D366" s="54"/>
      <c r="E366" s="17">
        <v>6388024</v>
      </c>
      <c r="F366" s="14" t="s">
        <v>117</v>
      </c>
      <c r="G366" s="14" t="s">
        <v>1551</v>
      </c>
      <c r="H366" s="18" t="s">
        <v>1552</v>
      </c>
      <c r="I366" s="25" t="s">
        <v>102</v>
      </c>
      <c r="J366" s="25">
        <v>80</v>
      </c>
      <c r="K366" s="25"/>
      <c r="L366" s="25"/>
      <c r="M366" s="25"/>
      <c r="N366" s="25"/>
      <c r="O366" s="25"/>
      <c r="P366" s="25"/>
      <c r="Q366" s="25"/>
      <c r="R366" s="25"/>
      <c r="S366" s="25"/>
      <c r="T366" s="51">
        <v>44531</v>
      </c>
      <c r="U366" s="25"/>
      <c r="V366" s="25"/>
      <c r="W366" s="25" t="s">
        <v>1553</v>
      </c>
      <c r="X366" s="25" t="s">
        <v>1554</v>
      </c>
      <c r="Y366" s="25"/>
      <c r="Z366" s="25"/>
      <c r="AA366" s="25"/>
      <c r="AB366" s="25"/>
      <c r="AC366" s="25" t="str">
        <f>TRIM(StudentScore[[#This Row],[Student Email]])</f>
        <v>phirada.kun@student.mahidol.ac.th</v>
      </c>
    </row>
    <row r="367" spans="1:29" ht="27">
      <c r="A367" s="15">
        <v>361</v>
      </c>
      <c r="B367" s="16">
        <f t="shared" si="24"/>
        <v>63</v>
      </c>
      <c r="C367" s="27">
        <f t="shared" si="25"/>
        <v>2023</v>
      </c>
      <c r="D367" s="54"/>
      <c r="E367" s="17">
        <v>6388025</v>
      </c>
      <c r="F367" s="14" t="s">
        <v>38</v>
      </c>
      <c r="G367" s="14" t="s">
        <v>1555</v>
      </c>
      <c r="H367" s="18" t="s">
        <v>1556</v>
      </c>
      <c r="I367" s="25" t="s">
        <v>64</v>
      </c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 t="s">
        <v>1557</v>
      </c>
      <c r="X367" s="25" t="s">
        <v>1558</v>
      </c>
      <c r="Y367" s="25"/>
      <c r="Z367" s="25"/>
      <c r="AA367" s="25"/>
      <c r="AB367" s="25"/>
      <c r="AC367" s="25" t="str">
        <f>TRIM(StudentScore[[#This Row],[Student Email]])</f>
        <v>khawkla.lao@student.mahidol.ac.th</v>
      </c>
    </row>
    <row r="368" spans="1:29" ht="27">
      <c r="A368" s="15">
        <v>362</v>
      </c>
      <c r="B368" s="16">
        <f t="shared" si="24"/>
        <v>63</v>
      </c>
      <c r="C368" s="27">
        <f t="shared" si="25"/>
        <v>2023</v>
      </c>
      <c r="D368" s="54"/>
      <c r="E368" s="17">
        <v>6388026</v>
      </c>
      <c r="F368" s="14" t="s">
        <v>38</v>
      </c>
      <c r="G368" s="14" t="s">
        <v>1559</v>
      </c>
      <c r="H368" s="18" t="s">
        <v>1560</v>
      </c>
      <c r="I368" s="25" t="s">
        <v>64</v>
      </c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 t="s">
        <v>1561</v>
      </c>
      <c r="X368" s="25" t="s">
        <v>1562</v>
      </c>
      <c r="Y368" s="25"/>
      <c r="Z368" s="25"/>
      <c r="AA368" s="25"/>
      <c r="AB368" s="25"/>
      <c r="AC368" s="25" t="str">
        <f>TRIM(StudentScore[[#This Row],[Student Email]])</f>
        <v>noppasit.lao@student.mahidol.ac.th</v>
      </c>
    </row>
    <row r="369" spans="1:29" ht="27">
      <c r="A369" s="15">
        <v>363</v>
      </c>
      <c r="B369" s="16">
        <f t="shared" si="24"/>
        <v>63</v>
      </c>
      <c r="C369" s="27">
        <f t="shared" si="25"/>
        <v>2023</v>
      </c>
      <c r="D369" s="54"/>
      <c r="E369" s="17">
        <v>6388027</v>
      </c>
      <c r="F369" s="14" t="s">
        <v>38</v>
      </c>
      <c r="G369" s="14" t="s">
        <v>1291</v>
      </c>
      <c r="H369" s="18" t="s">
        <v>1563</v>
      </c>
      <c r="I369" s="25" t="s">
        <v>124</v>
      </c>
      <c r="J369" s="25">
        <v>7</v>
      </c>
      <c r="K369" s="25">
        <v>8</v>
      </c>
      <c r="L369" s="25">
        <v>7.5</v>
      </c>
      <c r="M369" s="25">
        <v>6</v>
      </c>
      <c r="N369" s="25">
        <v>6</v>
      </c>
      <c r="O369" s="25"/>
      <c r="P369" s="25"/>
      <c r="Q369" s="25"/>
      <c r="R369" s="25"/>
      <c r="S369" s="35">
        <v>43603</v>
      </c>
      <c r="T369" s="51">
        <v>44044</v>
      </c>
      <c r="U369" s="25"/>
      <c r="V369" s="25"/>
      <c r="W369" s="25" t="s">
        <v>1564</v>
      </c>
      <c r="X369" s="25" t="s">
        <v>1565</v>
      </c>
      <c r="Y369" s="25"/>
      <c r="Z369" s="25"/>
      <c r="AA369" s="25"/>
      <c r="AB369" s="25"/>
      <c r="AC369" s="25" t="str">
        <f>TRIM(StudentScore[[#This Row],[Student Email]])</f>
        <v>jirayus.lap@student.mahidol.ac.th</v>
      </c>
    </row>
    <row r="370" spans="1:29" ht="27">
      <c r="A370" s="15">
        <v>364</v>
      </c>
      <c r="B370" s="16">
        <f t="shared" si="24"/>
        <v>63</v>
      </c>
      <c r="C370" s="27">
        <f t="shared" si="25"/>
        <v>2023</v>
      </c>
      <c r="D370" s="54"/>
      <c r="E370" s="17">
        <v>6388028</v>
      </c>
      <c r="F370" s="14" t="s">
        <v>38</v>
      </c>
      <c r="G370" s="14" t="s">
        <v>1566</v>
      </c>
      <c r="H370" s="18" t="s">
        <v>1567</v>
      </c>
      <c r="I370" s="25" t="s">
        <v>53</v>
      </c>
      <c r="J370" s="25">
        <v>103</v>
      </c>
      <c r="K370" s="25">
        <v>54</v>
      </c>
      <c r="L370" s="25">
        <v>49</v>
      </c>
      <c r="M370" s="25"/>
      <c r="N370" s="25"/>
      <c r="O370" s="25"/>
      <c r="P370" s="25"/>
      <c r="Q370" s="25"/>
      <c r="R370" s="25"/>
      <c r="S370" s="35">
        <v>44132</v>
      </c>
      <c r="T370" s="51">
        <v>44166</v>
      </c>
      <c r="U370" s="25"/>
      <c r="V370" s="25"/>
      <c r="W370" s="25" t="s">
        <v>1568</v>
      </c>
      <c r="X370" s="25" t="s">
        <v>1569</v>
      </c>
      <c r="Y370" s="25"/>
      <c r="Z370" s="25"/>
      <c r="AA370" s="25"/>
      <c r="AB370" s="25"/>
      <c r="AC370" s="25" t="str">
        <f>TRIM(StudentScore[[#This Row],[Student Email]])</f>
        <v>pongpop.lap@student.mahidol.ac.th</v>
      </c>
    </row>
    <row r="371" spans="1:29" ht="27">
      <c r="A371" s="15">
        <v>365</v>
      </c>
      <c r="B371" s="16">
        <f t="shared" si="24"/>
        <v>63</v>
      </c>
      <c r="C371" s="27">
        <f t="shared" si="25"/>
        <v>2023</v>
      </c>
      <c r="D371" s="54"/>
      <c r="E371" s="17">
        <v>6388029</v>
      </c>
      <c r="F371" s="14" t="s">
        <v>38</v>
      </c>
      <c r="G371" s="14" t="s">
        <v>1570</v>
      </c>
      <c r="H371" s="18" t="s">
        <v>1571</v>
      </c>
      <c r="I371" s="25" t="s">
        <v>48</v>
      </c>
      <c r="J371" s="25">
        <v>755</v>
      </c>
      <c r="K371" s="25">
        <v>430</v>
      </c>
      <c r="L371" s="25">
        <v>325</v>
      </c>
      <c r="M371" s="25"/>
      <c r="N371" s="25"/>
      <c r="O371" s="25"/>
      <c r="P371" s="25"/>
      <c r="Q371" s="25"/>
      <c r="R371" s="25"/>
      <c r="S371" s="35">
        <v>44153</v>
      </c>
      <c r="T371" s="51">
        <v>44136</v>
      </c>
      <c r="U371" s="25"/>
      <c r="V371" s="25"/>
      <c r="W371" s="25" t="s">
        <v>1572</v>
      </c>
      <c r="X371" s="25" t="s">
        <v>1573</v>
      </c>
      <c r="Y371" s="25"/>
      <c r="Z371" s="25"/>
      <c r="AA371" s="25"/>
      <c r="AB371" s="25"/>
      <c r="AC371" s="25" t="str">
        <f>TRIM(StudentScore[[#This Row],[Student Email]])</f>
        <v>kittapon.ler@student.mahidol.ac.th</v>
      </c>
    </row>
    <row r="372" spans="1:29" ht="27">
      <c r="A372" s="15">
        <v>366</v>
      </c>
      <c r="B372" s="16">
        <f t="shared" si="24"/>
        <v>63</v>
      </c>
      <c r="C372" s="27">
        <f t="shared" si="25"/>
        <v>2023</v>
      </c>
      <c r="D372" s="54"/>
      <c r="E372" s="17">
        <v>6388030</v>
      </c>
      <c r="F372" s="14" t="s">
        <v>38</v>
      </c>
      <c r="G372" s="14" t="s">
        <v>1574</v>
      </c>
      <c r="H372" s="18" t="s">
        <v>1575</v>
      </c>
      <c r="I372" s="25" t="s">
        <v>48</v>
      </c>
      <c r="J372" s="25">
        <v>830</v>
      </c>
      <c r="K372" s="25">
        <v>405</v>
      </c>
      <c r="L372" s="25">
        <v>425</v>
      </c>
      <c r="M372" s="25"/>
      <c r="N372" s="25"/>
      <c r="O372" s="25"/>
      <c r="P372" s="25"/>
      <c r="Q372" s="25"/>
      <c r="R372" s="25"/>
      <c r="S372" s="35">
        <v>44090</v>
      </c>
      <c r="T372" s="51">
        <v>44075</v>
      </c>
      <c r="U372" s="25"/>
      <c r="V372" s="25"/>
      <c r="W372" s="25" t="s">
        <v>1576</v>
      </c>
      <c r="X372" s="25" t="s">
        <v>1577</v>
      </c>
      <c r="Y372" s="25"/>
      <c r="Z372" s="25"/>
      <c r="AA372" s="25"/>
      <c r="AB372" s="25"/>
      <c r="AC372" s="25" t="str">
        <f>TRIM(StudentScore[[#This Row],[Student Email]])</f>
        <v>kulawut.mak@student.mahidol.ac.th</v>
      </c>
    </row>
    <row r="373" spans="1:29" ht="27">
      <c r="A373" s="15">
        <v>367</v>
      </c>
      <c r="B373" s="16">
        <f t="shared" si="24"/>
        <v>63</v>
      </c>
      <c r="C373" s="27">
        <f t="shared" si="25"/>
        <v>2023</v>
      </c>
      <c r="D373" s="54"/>
      <c r="E373" s="17">
        <v>6388031</v>
      </c>
      <c r="F373" s="14" t="s">
        <v>38</v>
      </c>
      <c r="G373" s="14" t="s">
        <v>1578</v>
      </c>
      <c r="H373" s="18" t="s">
        <v>1579</v>
      </c>
      <c r="I373" s="25" t="s">
        <v>133</v>
      </c>
      <c r="J373" s="25">
        <v>105</v>
      </c>
      <c r="K373" s="25"/>
      <c r="L373" s="25"/>
      <c r="M373" s="25"/>
      <c r="N373" s="25"/>
      <c r="O373" s="25"/>
      <c r="P373" s="25"/>
      <c r="Q373" s="25"/>
      <c r="R373" s="25"/>
      <c r="S373" s="35">
        <v>44168</v>
      </c>
      <c r="T373" s="51">
        <v>44409</v>
      </c>
      <c r="U373" s="25"/>
      <c r="V373" s="25"/>
      <c r="W373" s="25" t="s">
        <v>1580</v>
      </c>
      <c r="X373" s="25" t="s">
        <v>1581</v>
      </c>
      <c r="Y373" s="25"/>
      <c r="Z373" s="25"/>
      <c r="AA373" s="25"/>
      <c r="AB373" s="25"/>
      <c r="AC373" s="25" t="str">
        <f>TRIM(StudentScore[[#This Row],[Student Email]])</f>
        <v>nutawat.boo@student.mahidol.ac.th</v>
      </c>
    </row>
    <row r="374" spans="1:29" ht="27">
      <c r="A374" s="15">
        <v>368</v>
      </c>
      <c r="B374" s="16">
        <f t="shared" si="24"/>
        <v>63</v>
      </c>
      <c r="C374" s="27">
        <f t="shared" si="25"/>
        <v>2023</v>
      </c>
      <c r="D374" s="54"/>
      <c r="E374" s="17">
        <v>6388032</v>
      </c>
      <c r="F374" s="14" t="s">
        <v>117</v>
      </c>
      <c r="G374" s="14" t="s">
        <v>1582</v>
      </c>
      <c r="H374" s="18" t="s">
        <v>1583</v>
      </c>
      <c r="I374" s="25" t="s">
        <v>48</v>
      </c>
      <c r="J374" s="25">
        <v>640</v>
      </c>
      <c r="K374" s="25">
        <v>365</v>
      </c>
      <c r="L374" s="25">
        <v>275</v>
      </c>
      <c r="M374" s="25"/>
      <c r="N374" s="25"/>
      <c r="O374" s="25"/>
      <c r="P374" s="25"/>
      <c r="Q374" s="25"/>
      <c r="R374" s="25"/>
      <c r="S374" s="35">
        <v>44090</v>
      </c>
      <c r="T374" s="51">
        <v>44075</v>
      </c>
      <c r="U374" s="25"/>
      <c r="V374" s="25"/>
      <c r="W374" s="25" t="s">
        <v>1584</v>
      </c>
      <c r="X374" s="25" t="s">
        <v>1585</v>
      </c>
      <c r="Y374" s="25"/>
      <c r="Z374" s="25"/>
      <c r="AA374" s="25"/>
      <c r="AB374" s="25"/>
      <c r="AC374" s="25" t="str">
        <f>TRIM(StudentScore[[#This Row],[Student Email]])</f>
        <v>pruksa.dan@student.mahidol.ac.th</v>
      </c>
    </row>
    <row r="375" spans="1:29" ht="27">
      <c r="A375" s="15">
        <v>369</v>
      </c>
      <c r="B375" s="16">
        <f t="shared" si="24"/>
        <v>63</v>
      </c>
      <c r="C375" s="27">
        <f t="shared" si="25"/>
        <v>2023</v>
      </c>
      <c r="D375" s="54"/>
      <c r="E375" s="17">
        <v>6388034</v>
      </c>
      <c r="F375" s="14" t="s">
        <v>38</v>
      </c>
      <c r="G375" s="14" t="s">
        <v>1586</v>
      </c>
      <c r="H375" s="18" t="s">
        <v>1587</v>
      </c>
      <c r="I375" s="25" t="s">
        <v>64</v>
      </c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 t="s">
        <v>1588</v>
      </c>
      <c r="X375" s="25" t="s">
        <v>1589</v>
      </c>
      <c r="Y375" s="25"/>
      <c r="Z375" s="25"/>
      <c r="AA375" s="25"/>
      <c r="AB375" s="25"/>
      <c r="AC375" s="25" t="str">
        <f>TRIM(StudentScore[[#This Row],[Student Email]])</f>
        <v>nawat.ngr@student.mahidol.ac.th</v>
      </c>
    </row>
    <row r="376" spans="1:29" ht="27">
      <c r="A376" s="15">
        <v>370</v>
      </c>
      <c r="B376" s="16">
        <f t="shared" si="24"/>
        <v>63</v>
      </c>
      <c r="C376" s="27">
        <f t="shared" si="25"/>
        <v>2023</v>
      </c>
      <c r="D376" s="54"/>
      <c r="E376" s="17">
        <v>6388035</v>
      </c>
      <c r="F376" s="14" t="s">
        <v>38</v>
      </c>
      <c r="G376" s="14" t="s">
        <v>1590</v>
      </c>
      <c r="H376" s="18" t="s">
        <v>1591</v>
      </c>
      <c r="I376" s="25" t="s">
        <v>124</v>
      </c>
      <c r="J376" s="25">
        <v>7.5</v>
      </c>
      <c r="K376" s="25">
        <v>8.5</v>
      </c>
      <c r="L376" s="25">
        <v>8.5</v>
      </c>
      <c r="M376" s="25">
        <v>6</v>
      </c>
      <c r="N376" s="25">
        <v>6</v>
      </c>
      <c r="O376" s="25"/>
      <c r="P376" s="25"/>
      <c r="Q376" s="25"/>
      <c r="R376" s="25"/>
      <c r="S376" s="35">
        <v>43732</v>
      </c>
      <c r="T376" s="51">
        <v>44044</v>
      </c>
      <c r="U376" s="25"/>
      <c r="V376" s="25"/>
      <c r="W376" s="25" t="s">
        <v>1592</v>
      </c>
      <c r="X376" s="25" t="s">
        <v>1593</v>
      </c>
      <c r="Y376" s="25"/>
      <c r="Z376" s="25"/>
      <c r="AA376" s="25"/>
      <c r="AB376" s="25"/>
      <c r="AC376" s="25" t="str">
        <f>TRIM(StudentScore[[#This Row],[Student Email]])</f>
        <v>phichayut.ngo@student.mahidol.ac.th</v>
      </c>
    </row>
    <row r="377" spans="1:29" ht="27">
      <c r="A377" s="15">
        <v>371</v>
      </c>
      <c r="B377" s="16">
        <f t="shared" si="24"/>
        <v>63</v>
      </c>
      <c r="C377" s="27">
        <f t="shared" si="25"/>
        <v>2023</v>
      </c>
      <c r="D377" s="54"/>
      <c r="E377" s="17">
        <v>6388036</v>
      </c>
      <c r="F377" s="14" t="s">
        <v>38</v>
      </c>
      <c r="G377" s="14" t="s">
        <v>1594</v>
      </c>
      <c r="H377" s="18" t="s">
        <v>1595</v>
      </c>
      <c r="I377" s="25" t="s">
        <v>102</v>
      </c>
      <c r="J377" s="25">
        <v>78</v>
      </c>
      <c r="K377" s="25"/>
      <c r="L377" s="25"/>
      <c r="M377" s="25"/>
      <c r="N377" s="25"/>
      <c r="O377" s="25"/>
      <c r="P377" s="25"/>
      <c r="Q377" s="25"/>
      <c r="R377" s="25"/>
      <c r="S377" s="25"/>
      <c r="T377" s="51">
        <v>44531</v>
      </c>
      <c r="U377" s="25"/>
      <c r="V377" s="25"/>
      <c r="W377" s="25" t="s">
        <v>1596</v>
      </c>
      <c r="X377" s="25" t="s">
        <v>1597</v>
      </c>
      <c r="Y377" s="25"/>
      <c r="Z377" s="25"/>
      <c r="AA377" s="25"/>
      <c r="AB377" s="25"/>
      <c r="AC377" s="25" t="str">
        <f>TRIM(StudentScore[[#This Row],[Student Email]])</f>
        <v>chanatip.dee@student.mahidol.ac.th</v>
      </c>
    </row>
    <row r="378" spans="1:29" ht="27">
      <c r="A378" s="15">
        <v>372</v>
      </c>
      <c r="B378" s="16">
        <f t="shared" si="24"/>
        <v>63</v>
      </c>
      <c r="C378" s="27">
        <f t="shared" si="25"/>
        <v>2023</v>
      </c>
      <c r="D378" s="54"/>
      <c r="E378" s="17">
        <v>6388037</v>
      </c>
      <c r="F378" s="14" t="s">
        <v>117</v>
      </c>
      <c r="G378" s="14" t="s">
        <v>1598</v>
      </c>
      <c r="H378" s="18" t="s">
        <v>1599</v>
      </c>
      <c r="I378" s="25" t="s">
        <v>102</v>
      </c>
      <c r="J378" s="25">
        <v>85</v>
      </c>
      <c r="K378" s="25"/>
      <c r="L378" s="25"/>
      <c r="M378" s="25"/>
      <c r="N378" s="25"/>
      <c r="O378" s="25"/>
      <c r="P378" s="25"/>
      <c r="Q378" s="25"/>
      <c r="R378" s="25"/>
      <c r="S378" s="25"/>
      <c r="T378" s="51">
        <v>44531</v>
      </c>
      <c r="U378" s="25"/>
      <c r="V378" s="25"/>
      <c r="W378" s="25" t="s">
        <v>1600</v>
      </c>
      <c r="X378" s="25" t="s">
        <v>1601</v>
      </c>
      <c r="Y378" s="25"/>
      <c r="Z378" s="25"/>
      <c r="AA378" s="25"/>
      <c r="AB378" s="25"/>
      <c r="AC378" s="25" t="str">
        <f>TRIM(StudentScore[[#This Row],[Student Email]])</f>
        <v>parujee.pan@student.mahidol.ac.th</v>
      </c>
    </row>
    <row r="379" spans="1:29" ht="27">
      <c r="A379" s="15">
        <v>373</v>
      </c>
      <c r="B379" s="16">
        <f t="shared" si="24"/>
        <v>63</v>
      </c>
      <c r="C379" s="27">
        <f t="shared" si="25"/>
        <v>2023</v>
      </c>
      <c r="D379" s="54"/>
      <c r="E379" s="17">
        <v>6388038</v>
      </c>
      <c r="F379" s="14" t="s">
        <v>38</v>
      </c>
      <c r="G379" s="14" t="s">
        <v>1602</v>
      </c>
      <c r="H379" s="18" t="s">
        <v>1603</v>
      </c>
      <c r="I379" s="25" t="s">
        <v>102</v>
      </c>
      <c r="J379" s="25">
        <v>83</v>
      </c>
      <c r="K379" s="25"/>
      <c r="L379" s="25"/>
      <c r="M379" s="25"/>
      <c r="N379" s="25"/>
      <c r="O379" s="25"/>
      <c r="P379" s="25"/>
      <c r="Q379" s="25"/>
      <c r="R379" s="25"/>
      <c r="S379" s="25"/>
      <c r="T379" s="58">
        <v>44531</v>
      </c>
      <c r="U379" s="25"/>
      <c r="V379" s="25"/>
      <c r="W379" s="25" t="s">
        <v>1604</v>
      </c>
      <c r="X379" s="25" t="s">
        <v>1605</v>
      </c>
      <c r="Y379" s="25"/>
      <c r="Z379" s="25"/>
      <c r="AA379" s="25"/>
      <c r="AB379" s="25"/>
      <c r="AC379" s="25" t="str">
        <f>TRIM(StudentScore[[#This Row],[Student Email]])</f>
        <v>jirapat.dee@student.mahidol.ac.th</v>
      </c>
    </row>
    <row r="380" spans="1:29" ht="27">
      <c r="A380" s="15">
        <v>374</v>
      </c>
      <c r="B380" s="16">
        <f t="shared" si="24"/>
        <v>63</v>
      </c>
      <c r="C380" s="27">
        <f t="shared" si="25"/>
        <v>2023</v>
      </c>
      <c r="D380" s="54"/>
      <c r="E380" s="17">
        <v>6388039</v>
      </c>
      <c r="F380" s="14" t="s">
        <v>38</v>
      </c>
      <c r="G380" s="14" t="s">
        <v>1606</v>
      </c>
      <c r="H380" s="18" t="s">
        <v>1607</v>
      </c>
      <c r="I380" s="25" t="s">
        <v>244</v>
      </c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 t="s">
        <v>1608</v>
      </c>
      <c r="X380" s="25" t="s">
        <v>1609</v>
      </c>
      <c r="Y380" s="25"/>
      <c r="Z380" s="25"/>
      <c r="AA380" s="25"/>
      <c r="AB380" s="25"/>
      <c r="AC380" s="25" t="str">
        <f>TRIM(StudentScore[[#This Row],[Student Email]])</f>
        <v>wisarut.pha@student.mahidol.ac.th</v>
      </c>
    </row>
    <row r="381" spans="1:29" ht="27">
      <c r="A381" s="15">
        <v>375</v>
      </c>
      <c r="B381" s="16">
        <f t="shared" si="24"/>
        <v>63</v>
      </c>
      <c r="C381" s="27">
        <f t="shared" si="25"/>
        <v>2023</v>
      </c>
      <c r="D381" s="54"/>
      <c r="E381" s="17">
        <v>6388040</v>
      </c>
      <c r="F381" s="14" t="s">
        <v>117</v>
      </c>
      <c r="G381" s="14" t="s">
        <v>267</v>
      </c>
      <c r="H381" s="18" t="s">
        <v>1610</v>
      </c>
      <c r="I381" s="25" t="s">
        <v>133</v>
      </c>
      <c r="J381" s="25">
        <v>115</v>
      </c>
      <c r="K381" s="25"/>
      <c r="L381" s="25"/>
      <c r="M381" s="25"/>
      <c r="N381" s="25"/>
      <c r="O381" s="25"/>
      <c r="P381" s="25"/>
      <c r="Q381" s="25"/>
      <c r="R381" s="25"/>
      <c r="S381" s="35">
        <v>44194</v>
      </c>
      <c r="T381" s="51">
        <v>44166</v>
      </c>
      <c r="U381" s="25"/>
      <c r="V381" s="25"/>
      <c r="W381" s="25" t="s">
        <v>1611</v>
      </c>
      <c r="X381" s="25" t="s">
        <v>1612</v>
      </c>
      <c r="Y381" s="25"/>
      <c r="Z381" s="25"/>
      <c r="AA381" s="25"/>
      <c r="AB381" s="25"/>
      <c r="AC381" s="25" t="str">
        <f>TRIM(StudentScore[[#This Row],[Student Email]])</f>
        <v>ariya.phe@student.mahidol.ac.th</v>
      </c>
    </row>
    <row r="382" spans="1:29" ht="27">
      <c r="A382" s="15">
        <v>376</v>
      </c>
      <c r="B382" s="16">
        <f t="shared" si="24"/>
        <v>63</v>
      </c>
      <c r="C382" s="27">
        <f t="shared" si="25"/>
        <v>2023</v>
      </c>
      <c r="D382" s="54"/>
      <c r="E382" s="17">
        <v>6388041</v>
      </c>
      <c r="F382" s="14" t="s">
        <v>38</v>
      </c>
      <c r="G382" s="14" t="s">
        <v>1613</v>
      </c>
      <c r="H382" s="18" t="s">
        <v>1614</v>
      </c>
      <c r="I382" s="25" t="s">
        <v>64</v>
      </c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 t="s">
        <v>1615</v>
      </c>
      <c r="X382" s="25" t="s">
        <v>1616</v>
      </c>
      <c r="Y382" s="25"/>
      <c r="Z382" s="25"/>
      <c r="AA382" s="25"/>
      <c r="AB382" s="25"/>
      <c r="AC382" s="25" t="str">
        <f>TRIM(StudentScore[[#This Row],[Student Email]])</f>
        <v>chatkawin.pho@student.mahidol.ac.th</v>
      </c>
    </row>
    <row r="383" spans="1:29" ht="27">
      <c r="A383" s="15">
        <v>377</v>
      </c>
      <c r="B383" s="16">
        <f t="shared" si="24"/>
        <v>63</v>
      </c>
      <c r="C383" s="27">
        <f t="shared" si="25"/>
        <v>2023</v>
      </c>
      <c r="D383" s="54"/>
      <c r="E383" s="17">
        <v>6388042</v>
      </c>
      <c r="F383" s="14" t="s">
        <v>38</v>
      </c>
      <c r="G383" s="14" t="s">
        <v>1617</v>
      </c>
      <c r="H383" s="18" t="s">
        <v>1618</v>
      </c>
      <c r="I383" s="25" t="s">
        <v>214</v>
      </c>
      <c r="J383" s="25">
        <v>140</v>
      </c>
      <c r="K383" s="25"/>
      <c r="L383" s="25"/>
      <c r="M383" s="25"/>
      <c r="N383" s="25"/>
      <c r="O383" s="25">
        <v>145</v>
      </c>
      <c r="P383" s="25">
        <v>125</v>
      </c>
      <c r="Q383" s="25">
        <v>150</v>
      </c>
      <c r="R383" s="25">
        <v>110</v>
      </c>
      <c r="S383" s="26">
        <v>44678</v>
      </c>
      <c r="T383" s="35">
        <v>44683</v>
      </c>
      <c r="U383" s="25"/>
      <c r="V383" s="25"/>
      <c r="W383" s="25" t="s">
        <v>1619</v>
      </c>
      <c r="X383" s="25" t="s">
        <v>1620</v>
      </c>
      <c r="Y383" s="42">
        <v>44683.606793981482</v>
      </c>
      <c r="Z383" s="25" t="s">
        <v>1621</v>
      </c>
      <c r="AA383" s="25"/>
      <c r="AB383" s="25"/>
      <c r="AC383" s="25" t="str">
        <f>TRIM(StudentScore[[#This Row],[Student Email]])</f>
        <v>naruparn.pho@student.mahidol.ac.th</v>
      </c>
    </row>
    <row r="384" spans="1:29" ht="27">
      <c r="A384" s="15">
        <v>378</v>
      </c>
      <c r="B384" s="16">
        <f t="shared" si="24"/>
        <v>63</v>
      </c>
      <c r="C384" s="27">
        <f t="shared" si="25"/>
        <v>2023</v>
      </c>
      <c r="D384" s="54"/>
      <c r="E384" s="17">
        <v>6388043</v>
      </c>
      <c r="F384" s="14" t="s">
        <v>38</v>
      </c>
      <c r="G384" s="14" t="s">
        <v>1622</v>
      </c>
      <c r="H384" s="18" t="s">
        <v>1623</v>
      </c>
      <c r="I384" s="25" t="s">
        <v>133</v>
      </c>
      <c r="J384" s="25">
        <v>105</v>
      </c>
      <c r="K384" s="25"/>
      <c r="L384" s="25"/>
      <c r="M384" s="25"/>
      <c r="N384" s="25"/>
      <c r="O384" s="25"/>
      <c r="P384" s="25"/>
      <c r="Q384" s="25"/>
      <c r="R384" s="25"/>
      <c r="S384" s="35">
        <v>44157</v>
      </c>
      <c r="T384" s="51">
        <v>44136</v>
      </c>
      <c r="U384" s="25"/>
      <c r="V384" s="25"/>
      <c r="W384" s="25" t="s">
        <v>1624</v>
      </c>
      <c r="X384" s="25" t="s">
        <v>1625</v>
      </c>
      <c r="Y384" s="25"/>
      <c r="Z384" s="25"/>
      <c r="AA384" s="25"/>
      <c r="AB384" s="25"/>
      <c r="AC384" s="25" t="str">
        <f>TRIM(StudentScore[[#This Row],[Student Email]])</f>
        <v>noppanan.pin@student.mahidol.ac.th</v>
      </c>
    </row>
    <row r="385" spans="1:29" ht="27">
      <c r="A385" s="15">
        <v>379</v>
      </c>
      <c r="B385" s="16">
        <f t="shared" si="24"/>
        <v>63</v>
      </c>
      <c r="C385" s="27">
        <f t="shared" si="25"/>
        <v>2023</v>
      </c>
      <c r="D385" s="54"/>
      <c r="E385" s="17">
        <v>6388044</v>
      </c>
      <c r="F385" s="14" t="s">
        <v>38</v>
      </c>
      <c r="G385" s="14" t="s">
        <v>1626</v>
      </c>
      <c r="H385" s="18" t="s">
        <v>1627</v>
      </c>
      <c r="I385" s="25" t="s">
        <v>53</v>
      </c>
      <c r="J385" s="25">
        <v>106</v>
      </c>
      <c r="K385" s="25">
        <v>49</v>
      </c>
      <c r="L385" s="25">
        <v>57</v>
      </c>
      <c r="M385" s="25"/>
      <c r="N385" s="25"/>
      <c r="O385" s="25"/>
      <c r="P385" s="25"/>
      <c r="Q385" s="25"/>
      <c r="R385" s="25"/>
      <c r="S385" s="26">
        <v>44121</v>
      </c>
      <c r="T385" s="35">
        <v>44676</v>
      </c>
      <c r="U385" s="25"/>
      <c r="V385" s="25"/>
      <c r="W385" s="25" t="s">
        <v>1628</v>
      </c>
      <c r="X385" s="25" t="s">
        <v>1629</v>
      </c>
      <c r="Y385" s="42">
        <v>44677.012303240743</v>
      </c>
      <c r="Z385" s="25" t="s">
        <v>1630</v>
      </c>
      <c r="AA385" s="25"/>
      <c r="AB385" s="25"/>
      <c r="AC385" s="25" t="str">
        <f>TRIM(StudentScore[[#This Row],[Student Email]])</f>
        <v>thanat.plo@student.mahidol.ac.th</v>
      </c>
    </row>
    <row r="386" spans="1:29" ht="27">
      <c r="A386" s="15">
        <v>380</v>
      </c>
      <c r="B386" s="16">
        <f t="shared" si="24"/>
        <v>63</v>
      </c>
      <c r="C386" s="27">
        <f t="shared" si="25"/>
        <v>2023</v>
      </c>
      <c r="D386" s="54"/>
      <c r="E386" s="17">
        <v>6388045</v>
      </c>
      <c r="F386" s="14" t="s">
        <v>117</v>
      </c>
      <c r="G386" s="14" t="s">
        <v>1631</v>
      </c>
      <c r="H386" s="18" t="s">
        <v>1632</v>
      </c>
      <c r="I386" s="25" t="s">
        <v>102</v>
      </c>
      <c r="J386" s="25">
        <v>85</v>
      </c>
      <c r="K386" s="25"/>
      <c r="L386" s="25"/>
      <c r="M386" s="25"/>
      <c r="N386" s="25"/>
      <c r="O386" s="25"/>
      <c r="P386" s="25"/>
      <c r="Q386" s="25"/>
      <c r="R386" s="25"/>
      <c r="S386" s="25"/>
      <c r="T386" s="51">
        <v>44531</v>
      </c>
      <c r="U386" s="25"/>
      <c r="V386" s="25"/>
      <c r="W386" s="25" t="s">
        <v>1633</v>
      </c>
      <c r="X386" s="25" t="s">
        <v>1634</v>
      </c>
      <c r="Y386" s="25"/>
      <c r="Z386" s="25"/>
      <c r="AA386" s="25"/>
      <c r="AB386" s="25"/>
      <c r="AC386" s="25" t="str">
        <f>TRIM(StudentScore[[#This Row],[Student Email]])</f>
        <v>banthita.poa@student.mahidol.ac.th</v>
      </c>
    </row>
    <row r="387" spans="1:29" ht="27">
      <c r="A387" s="15">
        <v>381</v>
      </c>
      <c r="B387" s="16">
        <f t="shared" si="24"/>
        <v>63</v>
      </c>
      <c r="C387" s="27">
        <f t="shared" si="25"/>
        <v>2023</v>
      </c>
      <c r="D387" s="54"/>
      <c r="E387" s="17">
        <v>6388046</v>
      </c>
      <c r="F387" s="14" t="s">
        <v>117</v>
      </c>
      <c r="G387" s="14" t="s">
        <v>1635</v>
      </c>
      <c r="H387" s="18" t="s">
        <v>1636</v>
      </c>
      <c r="I387" s="25" t="s">
        <v>244</v>
      </c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 t="s">
        <v>1637</v>
      </c>
      <c r="X387" s="25" t="s">
        <v>1638</v>
      </c>
      <c r="Y387" s="25"/>
      <c r="Z387" s="25"/>
      <c r="AA387" s="25"/>
      <c r="AB387" s="25"/>
      <c r="AC387" s="25" t="str">
        <f>TRIM(StudentScore[[#This Row],[Student Email]])</f>
        <v>romprang.ekt@student.mahidol.ac.th</v>
      </c>
    </row>
    <row r="388" spans="1:29" ht="27">
      <c r="A388" s="15">
        <v>382</v>
      </c>
      <c r="B388" s="16">
        <f t="shared" si="24"/>
        <v>63</v>
      </c>
      <c r="C388" s="27">
        <f t="shared" si="25"/>
        <v>2023</v>
      </c>
      <c r="D388" s="54"/>
      <c r="E388" s="17">
        <v>6388047</v>
      </c>
      <c r="F388" s="14" t="s">
        <v>38</v>
      </c>
      <c r="G388" s="14" t="s">
        <v>1639</v>
      </c>
      <c r="H388" s="18" t="s">
        <v>1640</v>
      </c>
      <c r="I388" s="25" t="s">
        <v>64</v>
      </c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 t="s">
        <v>1641</v>
      </c>
      <c r="X388" s="25" t="s">
        <v>1642</v>
      </c>
      <c r="Y388" s="25"/>
      <c r="Z388" s="25"/>
      <c r="AA388" s="25"/>
      <c r="AB388" s="25"/>
      <c r="AC388" s="25" t="str">
        <f>TRIM(StudentScore[[#This Row],[Student Email]])</f>
        <v>phawat.rit@student.mahidol.ac.th</v>
      </c>
    </row>
    <row r="389" spans="1:29" ht="27">
      <c r="A389" s="15">
        <v>383</v>
      </c>
      <c r="B389" s="16">
        <f t="shared" si="24"/>
        <v>63</v>
      </c>
      <c r="C389" s="27">
        <f t="shared" si="25"/>
        <v>2023</v>
      </c>
      <c r="D389" s="54"/>
      <c r="E389" s="17">
        <v>6388048</v>
      </c>
      <c r="F389" s="14" t="s">
        <v>38</v>
      </c>
      <c r="G389" s="14" t="s">
        <v>1643</v>
      </c>
      <c r="H389" s="18" t="s">
        <v>1644</v>
      </c>
      <c r="I389" s="25" t="s">
        <v>64</v>
      </c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 t="s">
        <v>1645</v>
      </c>
      <c r="X389" s="25" t="s">
        <v>1646</v>
      </c>
      <c r="Y389" s="25"/>
      <c r="Z389" s="25"/>
      <c r="AA389" s="25"/>
      <c r="AB389" s="25"/>
      <c r="AC389" s="25" t="str">
        <f>TRIM(StudentScore[[#This Row],[Student Email]])</f>
        <v>leenawat.hon@student.mahidol.ac.th</v>
      </c>
    </row>
    <row r="390" spans="1:29" ht="27">
      <c r="A390" s="15">
        <v>384</v>
      </c>
      <c r="B390" s="16">
        <f t="shared" si="24"/>
        <v>63</v>
      </c>
      <c r="C390" s="27">
        <f t="shared" si="25"/>
        <v>2023</v>
      </c>
      <c r="D390" s="54"/>
      <c r="E390" s="17">
        <v>6388049</v>
      </c>
      <c r="F390" s="14" t="s">
        <v>38</v>
      </c>
      <c r="G390" s="14" t="s">
        <v>1647</v>
      </c>
      <c r="H390" s="18" t="s">
        <v>1648</v>
      </c>
      <c r="I390" s="25" t="s">
        <v>64</v>
      </c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 t="s">
        <v>1649</v>
      </c>
      <c r="X390" s="25" t="s">
        <v>1650</v>
      </c>
      <c r="Y390" s="25"/>
      <c r="Z390" s="25"/>
      <c r="AA390" s="25"/>
      <c r="AB390" s="25"/>
      <c r="AC390" s="25" t="str">
        <f>TRIM(StudentScore[[#This Row],[Student Email]])</f>
        <v>thanawich.int@student.mahidol.ac.th</v>
      </c>
    </row>
    <row r="391" spans="1:29" ht="27">
      <c r="A391" s="15">
        <v>385</v>
      </c>
      <c r="B391" s="16">
        <f t="shared" si="24"/>
        <v>63</v>
      </c>
      <c r="C391" s="27">
        <f t="shared" si="25"/>
        <v>2023</v>
      </c>
      <c r="D391" s="54"/>
      <c r="E391" s="17">
        <v>6388050</v>
      </c>
      <c r="F391" s="14" t="s">
        <v>38</v>
      </c>
      <c r="G391" s="14" t="s">
        <v>1651</v>
      </c>
      <c r="H391" s="18" t="s">
        <v>1652</v>
      </c>
      <c r="I391" s="25" t="s">
        <v>102</v>
      </c>
      <c r="J391" s="25">
        <v>81</v>
      </c>
      <c r="K391" s="25"/>
      <c r="L391" s="25"/>
      <c r="M391" s="25"/>
      <c r="N391" s="25"/>
      <c r="O391" s="25"/>
      <c r="P391" s="25"/>
      <c r="Q391" s="25"/>
      <c r="R391" s="25"/>
      <c r="S391" s="25"/>
      <c r="T391" s="51">
        <v>44531</v>
      </c>
      <c r="U391" s="25"/>
      <c r="V391" s="25"/>
      <c r="W391" s="25" t="s">
        <v>1653</v>
      </c>
      <c r="X391" s="25" t="s">
        <v>1654</v>
      </c>
      <c r="Y391" s="25"/>
      <c r="Z391" s="25"/>
      <c r="AA391" s="25"/>
      <c r="AB391" s="25"/>
      <c r="AC391" s="25" t="str">
        <f>TRIM(StudentScore[[#This Row],[Student Email]])</f>
        <v>putip.sae@student.mahidol.ac.th</v>
      </c>
    </row>
    <row r="392" spans="1:29" ht="27">
      <c r="A392" s="15">
        <v>386</v>
      </c>
      <c r="B392" s="16">
        <f t="shared" si="24"/>
        <v>63</v>
      </c>
      <c r="C392" s="27">
        <f t="shared" si="25"/>
        <v>2023</v>
      </c>
      <c r="D392" s="54"/>
      <c r="E392" s="17">
        <v>6388051</v>
      </c>
      <c r="F392" s="14" t="s">
        <v>38</v>
      </c>
      <c r="G392" s="14" t="s">
        <v>1655</v>
      </c>
      <c r="H392" s="18" t="s">
        <v>1656</v>
      </c>
      <c r="I392" s="25" t="s">
        <v>64</v>
      </c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 t="s">
        <v>1657</v>
      </c>
      <c r="X392" s="25" t="s">
        <v>1658</v>
      </c>
      <c r="Y392" s="25"/>
      <c r="Z392" s="25"/>
      <c r="AA392" s="25"/>
      <c r="AB392" s="25"/>
      <c r="AC392" s="25" t="str">
        <f>TRIM(StudentScore[[#This Row],[Student Email]])</f>
        <v>chavalit.sav@student.mahidol.ac.th</v>
      </c>
    </row>
    <row r="393" spans="1:29" ht="27">
      <c r="A393" s="15">
        <v>387</v>
      </c>
      <c r="B393" s="16">
        <f t="shared" si="24"/>
        <v>63</v>
      </c>
      <c r="C393" s="27">
        <f t="shared" si="25"/>
        <v>2023</v>
      </c>
      <c r="D393" s="54"/>
      <c r="E393" s="17">
        <v>6388052</v>
      </c>
      <c r="F393" s="14" t="s">
        <v>117</v>
      </c>
      <c r="G393" s="14" t="s">
        <v>1659</v>
      </c>
      <c r="H393" s="18" t="s">
        <v>1660</v>
      </c>
      <c r="I393" s="25" t="s">
        <v>48</v>
      </c>
      <c r="J393" s="25">
        <v>715</v>
      </c>
      <c r="K393" s="25">
        <v>350</v>
      </c>
      <c r="L393" s="25">
        <v>365</v>
      </c>
      <c r="M393" s="25"/>
      <c r="N393" s="25"/>
      <c r="O393" s="25"/>
      <c r="P393" s="25"/>
      <c r="Q393" s="25"/>
      <c r="R393" s="25"/>
      <c r="S393" s="35">
        <v>44090</v>
      </c>
      <c r="T393" s="51">
        <v>44075</v>
      </c>
      <c r="U393" s="25"/>
      <c r="V393" s="25"/>
      <c r="W393" s="25" t="s">
        <v>1661</v>
      </c>
      <c r="X393" s="25" t="s">
        <v>1662</v>
      </c>
      <c r="Y393" s="25"/>
      <c r="Z393" s="25"/>
      <c r="AA393" s="25"/>
      <c r="AB393" s="25"/>
      <c r="AC393" s="25" t="str">
        <f>TRIM(StudentScore[[#This Row],[Student Email]])</f>
        <v>runchana.see@student.mahidol.ac.th</v>
      </c>
    </row>
    <row r="394" spans="1:29" ht="27">
      <c r="A394" s="15">
        <v>388</v>
      </c>
      <c r="B394" s="16">
        <f t="shared" si="24"/>
        <v>63</v>
      </c>
      <c r="C394" s="27">
        <f t="shared" si="25"/>
        <v>2023</v>
      </c>
      <c r="D394" s="54"/>
      <c r="E394" s="17">
        <v>6388053</v>
      </c>
      <c r="F394" s="14" t="s">
        <v>117</v>
      </c>
      <c r="G394" s="14" t="s">
        <v>1663</v>
      </c>
      <c r="H394" s="18" t="s">
        <v>1664</v>
      </c>
      <c r="I394" s="25" t="s">
        <v>64</v>
      </c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 t="s">
        <v>1665</v>
      </c>
      <c r="X394" s="25" t="s">
        <v>1666</v>
      </c>
      <c r="Y394" s="25"/>
      <c r="Z394" s="25"/>
      <c r="AA394" s="25"/>
      <c r="AB394" s="25"/>
      <c r="AC394" s="25" t="str">
        <f>TRIM(StudentScore[[#This Row],[Student Email]])</f>
        <v>chayanis.set@student.mahidol.ac.th</v>
      </c>
    </row>
    <row r="395" spans="1:29" ht="27">
      <c r="A395" s="15">
        <v>389</v>
      </c>
      <c r="B395" s="16">
        <f t="shared" si="24"/>
        <v>63</v>
      </c>
      <c r="C395" s="27">
        <f t="shared" si="25"/>
        <v>2023</v>
      </c>
      <c r="D395" s="54"/>
      <c r="E395" s="19">
        <v>6388054</v>
      </c>
      <c r="F395" s="20" t="s">
        <v>117</v>
      </c>
      <c r="G395" s="14" t="s">
        <v>1667</v>
      </c>
      <c r="H395" s="18" t="s">
        <v>1668</v>
      </c>
      <c r="I395" s="25" t="s">
        <v>244</v>
      </c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 t="s">
        <v>1669</v>
      </c>
      <c r="X395" s="25" t="s">
        <v>1670</v>
      </c>
      <c r="Y395" s="25"/>
      <c r="Z395" s="25"/>
      <c r="AA395" s="25"/>
      <c r="AB395" s="25"/>
      <c r="AC395" s="25" t="str">
        <f>TRIM(StudentScore[[#This Row],[Student Email]])</f>
        <v>benyapa.jik@student.mahidol.ac.th</v>
      </c>
    </row>
    <row r="396" spans="1:29" ht="27">
      <c r="A396" s="15">
        <v>390</v>
      </c>
      <c r="B396" s="16">
        <f t="shared" si="0"/>
        <v>63</v>
      </c>
      <c r="C396" s="16">
        <f t="shared" si="1"/>
        <v>2023</v>
      </c>
      <c r="D396" s="54"/>
      <c r="E396" s="17">
        <v>6388055</v>
      </c>
      <c r="F396" s="14" t="s">
        <v>38</v>
      </c>
      <c r="G396" s="14" t="s">
        <v>1671</v>
      </c>
      <c r="H396" s="18" t="s">
        <v>1672</v>
      </c>
      <c r="I396" s="25" t="s">
        <v>64</v>
      </c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 t="s">
        <v>1673</v>
      </c>
      <c r="X396" s="25" t="s">
        <v>1674</v>
      </c>
      <c r="Y396" s="25"/>
      <c r="Z396" s="25"/>
      <c r="AA396" s="25"/>
      <c r="AB396" s="25"/>
      <c r="AC396" s="25" t="str">
        <f>TRIM(StudentScore[[#This Row],[Student Email]])</f>
        <v>dhammawat.sir@student.mahidol.ac.th</v>
      </c>
    </row>
    <row r="397" spans="1:29" ht="27">
      <c r="A397" s="15">
        <v>391</v>
      </c>
      <c r="B397" s="16">
        <f t="shared" si="0"/>
        <v>63</v>
      </c>
      <c r="C397" s="27">
        <f t="shared" si="1"/>
        <v>2023</v>
      </c>
      <c r="D397" s="54"/>
      <c r="E397" s="19">
        <v>6388056</v>
      </c>
      <c r="F397" s="20" t="s">
        <v>38</v>
      </c>
      <c r="G397" s="14" t="s">
        <v>1675</v>
      </c>
      <c r="H397" s="18" t="s">
        <v>1676</v>
      </c>
      <c r="I397" s="25" t="s">
        <v>64</v>
      </c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 t="s">
        <v>1677</v>
      </c>
      <c r="X397" s="25" t="s">
        <v>1678</v>
      </c>
      <c r="Y397" s="25"/>
      <c r="Z397" s="25"/>
      <c r="AA397" s="25"/>
      <c r="AB397" s="25"/>
      <c r="AC397" s="25" t="str">
        <f>TRIM(StudentScore[[#This Row],[Student Email]])</f>
        <v>nopparwut.sir@student.mahidol.ac.th</v>
      </c>
    </row>
    <row r="398" spans="1:29" ht="27">
      <c r="A398" s="15">
        <v>392</v>
      </c>
      <c r="B398" s="16">
        <f t="shared" si="0"/>
        <v>63</v>
      </c>
      <c r="C398" s="16">
        <f t="shared" si="1"/>
        <v>2023</v>
      </c>
      <c r="D398" s="54"/>
      <c r="E398" s="21">
        <v>6388057</v>
      </c>
      <c r="F398" s="22" t="s">
        <v>117</v>
      </c>
      <c r="G398" s="14" t="s">
        <v>1679</v>
      </c>
      <c r="H398" s="18" t="s">
        <v>1680</v>
      </c>
      <c r="I398" s="25" t="s">
        <v>64</v>
      </c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 t="s">
        <v>1681</v>
      </c>
      <c r="X398" s="25" t="s">
        <v>1682</v>
      </c>
      <c r="Y398" s="25"/>
      <c r="Z398" s="25"/>
      <c r="AA398" s="25"/>
      <c r="AB398" s="25"/>
      <c r="AC398" s="25" t="str">
        <f>TRIM(StudentScore[[#This Row],[Student Email]])</f>
        <v>phakrada.som@student.mahidol.ac.th</v>
      </c>
    </row>
    <row r="399" spans="1:29" ht="27">
      <c r="A399" s="15">
        <v>393</v>
      </c>
      <c r="B399" s="16">
        <f t="shared" si="0"/>
        <v>63</v>
      </c>
      <c r="C399" s="16">
        <f t="shared" si="1"/>
        <v>2023</v>
      </c>
      <c r="D399" s="54"/>
      <c r="E399" s="17">
        <v>6388058</v>
      </c>
      <c r="F399" s="14" t="s">
        <v>38</v>
      </c>
      <c r="G399" s="14" t="s">
        <v>1683</v>
      </c>
      <c r="H399" s="18" t="s">
        <v>1684</v>
      </c>
      <c r="I399" s="25" t="s">
        <v>64</v>
      </c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 t="s">
        <v>1685</v>
      </c>
      <c r="X399" s="25" t="s">
        <v>1686</v>
      </c>
      <c r="Y399" s="25"/>
      <c r="Z399" s="25"/>
      <c r="AA399" s="25"/>
      <c r="AB399" s="25"/>
      <c r="AC399" s="25" t="str">
        <f>TRIM(StudentScore[[#This Row],[Student Email]])</f>
        <v>kanokpitch.son@student.mahidol.ac.th</v>
      </c>
    </row>
    <row r="400" spans="1:29" ht="27">
      <c r="A400" s="15">
        <v>394</v>
      </c>
      <c r="B400" s="16">
        <f t="shared" si="0"/>
        <v>63</v>
      </c>
      <c r="C400" s="16">
        <f t="shared" si="1"/>
        <v>2023</v>
      </c>
      <c r="D400" s="54"/>
      <c r="E400" s="17">
        <v>6388059</v>
      </c>
      <c r="F400" s="14" t="s">
        <v>38</v>
      </c>
      <c r="G400" s="14" t="s">
        <v>226</v>
      </c>
      <c r="H400" s="18" t="s">
        <v>1687</v>
      </c>
      <c r="I400" s="25" t="s">
        <v>64</v>
      </c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 t="s">
        <v>1688</v>
      </c>
      <c r="X400" s="25" t="s">
        <v>1689</v>
      </c>
      <c r="Y400" s="25"/>
      <c r="Z400" s="25"/>
      <c r="AA400" s="25"/>
      <c r="AB400" s="25"/>
      <c r="AC400" s="25" t="str">
        <f>TRIM(StudentScore[[#This Row],[Student Email]])</f>
        <v>naphat.soo@student.mahidol.ac.th</v>
      </c>
    </row>
    <row r="401" spans="1:29" ht="27">
      <c r="A401" s="15">
        <v>395</v>
      </c>
      <c r="B401" s="16">
        <f t="shared" si="0"/>
        <v>63</v>
      </c>
      <c r="C401" s="16">
        <f t="shared" si="1"/>
        <v>2023</v>
      </c>
      <c r="D401" s="54"/>
      <c r="E401" s="17">
        <v>6388060</v>
      </c>
      <c r="F401" s="14" t="s">
        <v>117</v>
      </c>
      <c r="G401" s="14" t="s">
        <v>1690</v>
      </c>
      <c r="H401" s="18" t="s">
        <v>1691</v>
      </c>
      <c r="I401" s="25" t="s">
        <v>102</v>
      </c>
      <c r="J401" s="25">
        <v>90</v>
      </c>
      <c r="K401" s="25"/>
      <c r="L401" s="25"/>
      <c r="M401" s="25"/>
      <c r="N401" s="25"/>
      <c r="O401" s="25"/>
      <c r="P401" s="25"/>
      <c r="Q401" s="25"/>
      <c r="R401" s="25"/>
      <c r="S401" s="25"/>
      <c r="T401" s="51">
        <v>44531</v>
      </c>
      <c r="U401" s="25"/>
      <c r="V401" s="25"/>
      <c r="W401" s="25" t="s">
        <v>1692</v>
      </c>
      <c r="X401" s="25" t="s">
        <v>1693</v>
      </c>
      <c r="Y401" s="25"/>
      <c r="Z401" s="25"/>
      <c r="AA401" s="25"/>
      <c r="AB401" s="25"/>
      <c r="AC401" s="25" t="str">
        <f>TRIM(StudentScore[[#This Row],[Student Email]])</f>
        <v>atchaya.sri@student.mahidol.ac.th</v>
      </c>
    </row>
    <row r="402" spans="1:29" ht="27">
      <c r="A402" s="15">
        <v>396</v>
      </c>
      <c r="B402" s="16">
        <f t="shared" si="0"/>
        <v>63</v>
      </c>
      <c r="C402" s="16">
        <f t="shared" si="1"/>
        <v>2023</v>
      </c>
      <c r="D402" s="54"/>
      <c r="E402" s="17">
        <v>6388061</v>
      </c>
      <c r="F402" s="14" t="s">
        <v>38</v>
      </c>
      <c r="G402" s="14" t="s">
        <v>1694</v>
      </c>
      <c r="H402" s="18" t="s">
        <v>1695</v>
      </c>
      <c r="I402" s="25" t="s">
        <v>244</v>
      </c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 t="s">
        <v>1696</v>
      </c>
      <c r="X402" s="25" t="s">
        <v>1697</v>
      </c>
      <c r="Y402" s="25"/>
      <c r="Z402" s="25"/>
      <c r="AA402" s="25"/>
      <c r="AB402" s="25"/>
      <c r="AC402" s="25" t="str">
        <f>TRIM(StudentScore[[#This Row],[Student Email]])</f>
        <v>nattapas.sub@student.mahidol.ac.th</v>
      </c>
    </row>
    <row r="403" spans="1:29" ht="27">
      <c r="A403" s="15">
        <v>397</v>
      </c>
      <c r="B403" s="16">
        <f t="shared" si="0"/>
        <v>63</v>
      </c>
      <c r="C403" s="16">
        <f t="shared" si="1"/>
        <v>2023</v>
      </c>
      <c r="D403" s="54"/>
      <c r="E403" s="17">
        <v>6388062</v>
      </c>
      <c r="F403" s="14" t="s">
        <v>117</v>
      </c>
      <c r="G403" s="14" t="s">
        <v>1698</v>
      </c>
      <c r="H403" s="18" t="s">
        <v>1699</v>
      </c>
      <c r="I403" s="25" t="s">
        <v>48</v>
      </c>
      <c r="J403" s="25">
        <v>720</v>
      </c>
      <c r="K403" s="25">
        <v>410</v>
      </c>
      <c r="L403" s="25">
        <v>310</v>
      </c>
      <c r="M403" s="25"/>
      <c r="N403" s="25"/>
      <c r="O403" s="25"/>
      <c r="P403" s="25"/>
      <c r="Q403" s="25"/>
      <c r="R403" s="25"/>
      <c r="S403" s="35">
        <v>44090</v>
      </c>
      <c r="T403" s="51">
        <v>44075</v>
      </c>
      <c r="U403" s="25"/>
      <c r="V403" s="25"/>
      <c r="W403" s="25" t="s">
        <v>1700</v>
      </c>
      <c r="X403" s="25" t="s">
        <v>1701</v>
      </c>
      <c r="Y403" s="25"/>
      <c r="Z403" s="25"/>
      <c r="AA403" s="25"/>
      <c r="AB403" s="25"/>
      <c r="AC403" s="25" t="str">
        <f>TRIM(StudentScore[[#This Row],[Student Email]])</f>
        <v>onanong.sup@student.mahidol.ac.th</v>
      </c>
    </row>
    <row r="404" spans="1:29" ht="27">
      <c r="A404" s="15">
        <v>398</v>
      </c>
      <c r="B404" s="16">
        <f t="shared" si="0"/>
        <v>63</v>
      </c>
      <c r="C404" s="16">
        <f t="shared" si="1"/>
        <v>2023</v>
      </c>
      <c r="D404" s="54"/>
      <c r="E404" s="17">
        <v>6388063</v>
      </c>
      <c r="F404" s="14" t="s">
        <v>38</v>
      </c>
      <c r="G404" s="14" t="s">
        <v>1702</v>
      </c>
      <c r="H404" s="18" t="s">
        <v>1703</v>
      </c>
      <c r="I404" s="25" t="s">
        <v>48</v>
      </c>
      <c r="J404" s="25">
        <v>695</v>
      </c>
      <c r="K404" s="25">
        <v>395</v>
      </c>
      <c r="L404" s="25">
        <v>300</v>
      </c>
      <c r="M404" s="25"/>
      <c r="N404" s="25"/>
      <c r="O404" s="25"/>
      <c r="P404" s="25"/>
      <c r="Q404" s="25"/>
      <c r="R404" s="25"/>
      <c r="S404" s="35">
        <v>44034</v>
      </c>
      <c r="T404" s="51">
        <v>44044</v>
      </c>
      <c r="U404" s="25"/>
      <c r="V404" s="25"/>
      <c r="W404" s="25" t="s">
        <v>1704</v>
      </c>
      <c r="X404" s="25" t="s">
        <v>1705</v>
      </c>
      <c r="Y404" s="25"/>
      <c r="Z404" s="25"/>
      <c r="AA404" s="25"/>
      <c r="AB404" s="25"/>
      <c r="AC404" s="25" t="str">
        <f>TRIM(StudentScore[[#This Row],[Student Email]])</f>
        <v>nuttapat.sum@student.mahidol.ac.th</v>
      </c>
    </row>
    <row r="405" spans="1:29" ht="27">
      <c r="A405" s="15">
        <v>399</v>
      </c>
      <c r="B405" s="16">
        <f t="shared" si="0"/>
        <v>63</v>
      </c>
      <c r="C405" s="16">
        <f t="shared" si="1"/>
        <v>2023</v>
      </c>
      <c r="D405" s="54"/>
      <c r="E405" s="17">
        <v>6388064</v>
      </c>
      <c r="F405" s="14" t="s">
        <v>38</v>
      </c>
      <c r="G405" s="14" t="s">
        <v>1706</v>
      </c>
      <c r="H405" s="18" t="s">
        <v>1707</v>
      </c>
      <c r="I405" s="25" t="s">
        <v>64</v>
      </c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 t="s">
        <v>1708</v>
      </c>
      <c r="X405" s="25" t="s">
        <v>1709</v>
      </c>
      <c r="Y405" s="25"/>
      <c r="Z405" s="25"/>
      <c r="AA405" s="25"/>
      <c r="AB405" s="25"/>
      <c r="AC405" s="25" t="str">
        <f>TRIM(StudentScore[[#This Row],[Student Email]])</f>
        <v>khunathip.sur@student.mahidol.ac.th</v>
      </c>
    </row>
    <row r="406" spans="1:29" ht="27">
      <c r="A406" s="15">
        <v>400</v>
      </c>
      <c r="B406" s="16">
        <f t="shared" si="0"/>
        <v>63</v>
      </c>
      <c r="C406" s="16">
        <f t="shared" si="1"/>
        <v>2023</v>
      </c>
      <c r="D406" s="54"/>
      <c r="E406" s="17">
        <v>6388065</v>
      </c>
      <c r="F406" s="14" t="s">
        <v>38</v>
      </c>
      <c r="G406" s="14" t="s">
        <v>1710</v>
      </c>
      <c r="H406" s="18" t="s">
        <v>1711</v>
      </c>
      <c r="I406" s="25" t="s">
        <v>48</v>
      </c>
      <c r="J406" s="25">
        <v>665</v>
      </c>
      <c r="K406" s="25">
        <v>340</v>
      </c>
      <c r="L406" s="25">
        <v>325</v>
      </c>
      <c r="M406" s="25"/>
      <c r="N406" s="25"/>
      <c r="O406" s="25"/>
      <c r="P406" s="25"/>
      <c r="Q406" s="25"/>
      <c r="R406" s="25"/>
      <c r="S406" s="35">
        <v>44034</v>
      </c>
      <c r="T406" s="51">
        <v>44044</v>
      </c>
      <c r="U406" s="25"/>
      <c r="V406" s="25"/>
      <c r="W406" s="25" t="s">
        <v>1712</v>
      </c>
      <c r="X406" s="25" t="s">
        <v>1713</v>
      </c>
      <c r="Y406" s="25"/>
      <c r="Z406" s="25"/>
      <c r="AA406" s="25"/>
      <c r="AB406" s="25"/>
      <c r="AC406" s="25" t="str">
        <f>TRIM(StudentScore[[#This Row],[Student Email]])</f>
        <v>supakitt.sur@student.mahidol.ac.th</v>
      </c>
    </row>
    <row r="407" spans="1:29" ht="27">
      <c r="A407" s="15">
        <v>401</v>
      </c>
      <c r="B407" s="16">
        <f t="shared" si="0"/>
        <v>63</v>
      </c>
      <c r="C407" s="27">
        <f t="shared" si="1"/>
        <v>2023</v>
      </c>
      <c r="D407" s="54"/>
      <c r="E407" s="19">
        <v>6388066</v>
      </c>
      <c r="F407" s="20" t="s">
        <v>117</v>
      </c>
      <c r="G407" s="14" t="s">
        <v>1714</v>
      </c>
      <c r="H407" s="18" t="s">
        <v>1715</v>
      </c>
      <c r="I407" s="25" t="s">
        <v>64</v>
      </c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 t="s">
        <v>1716</v>
      </c>
      <c r="X407" s="25" t="s">
        <v>1717</v>
      </c>
      <c r="Y407" s="25"/>
      <c r="Z407" s="25"/>
      <c r="AA407" s="25"/>
      <c r="AB407" s="25"/>
      <c r="AC407" s="25" t="str">
        <f>TRIM(StudentScore[[#This Row],[Student Email]])</f>
        <v>chanyanud.suw@student.mahidol.ac.th</v>
      </c>
    </row>
    <row r="408" spans="1:29" ht="27">
      <c r="A408" s="15">
        <v>402</v>
      </c>
      <c r="B408" s="16">
        <f t="shared" si="0"/>
        <v>63</v>
      </c>
      <c r="C408" s="27">
        <f t="shared" si="1"/>
        <v>2023</v>
      </c>
      <c r="D408" s="54"/>
      <c r="E408" s="23">
        <v>6388067</v>
      </c>
      <c r="F408" s="24" t="s">
        <v>38</v>
      </c>
      <c r="G408" s="14" t="s">
        <v>1718</v>
      </c>
      <c r="H408" s="18" t="s">
        <v>1232</v>
      </c>
      <c r="I408" s="25" t="s">
        <v>64</v>
      </c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 t="s">
        <v>1719</v>
      </c>
      <c r="X408" s="25" t="s">
        <v>1720</v>
      </c>
      <c r="Y408" s="25"/>
      <c r="Z408" s="25"/>
      <c r="AA408" s="25"/>
      <c r="AB408" s="25"/>
      <c r="AC408" s="25" t="str">
        <f>TRIM(StudentScore[[#This Row],[Student Email]])</f>
        <v>chatchanon.tan@student.mahidol.ac.th</v>
      </c>
    </row>
    <row r="409" spans="1:29" ht="27">
      <c r="A409" s="15">
        <v>403</v>
      </c>
      <c r="B409" s="16">
        <f t="shared" si="0"/>
        <v>63</v>
      </c>
      <c r="C409" s="27">
        <f t="shared" si="1"/>
        <v>2023</v>
      </c>
      <c r="D409" s="54"/>
      <c r="E409" s="23">
        <v>6388068</v>
      </c>
      <c r="F409" s="24" t="s">
        <v>117</v>
      </c>
      <c r="G409" s="14" t="s">
        <v>1721</v>
      </c>
      <c r="H409" s="18" t="s">
        <v>1722</v>
      </c>
      <c r="I409" s="25" t="s">
        <v>124</v>
      </c>
      <c r="J409" s="25">
        <v>6.5</v>
      </c>
      <c r="K409" s="25">
        <v>7</v>
      </c>
      <c r="L409" s="25">
        <v>6.5</v>
      </c>
      <c r="M409" s="25">
        <v>5.5</v>
      </c>
      <c r="N409" s="25">
        <v>6</v>
      </c>
      <c r="O409" s="25"/>
      <c r="P409" s="25"/>
      <c r="Q409" s="25"/>
      <c r="R409" s="25"/>
      <c r="S409" s="35">
        <v>43792</v>
      </c>
      <c r="T409" s="51">
        <v>44044</v>
      </c>
      <c r="U409" s="25"/>
      <c r="V409" s="25"/>
      <c r="W409" s="25" t="s">
        <v>1723</v>
      </c>
      <c r="X409" s="25" t="s">
        <v>1724</v>
      </c>
      <c r="Y409" s="25"/>
      <c r="Z409" s="25"/>
      <c r="AA409" s="25"/>
      <c r="AB409" s="25"/>
      <c r="AC409" s="25" t="str">
        <f>TRIM(StudentScore[[#This Row],[Student Email]])</f>
        <v>doungnapat.thi@student.mahidol.ac.th</v>
      </c>
    </row>
    <row r="410" spans="1:29" ht="27">
      <c r="A410" s="15">
        <v>404</v>
      </c>
      <c r="B410" s="16">
        <f t="shared" si="0"/>
        <v>63</v>
      </c>
      <c r="C410" s="27">
        <f t="shared" si="1"/>
        <v>2023</v>
      </c>
      <c r="D410" s="54"/>
      <c r="E410" s="23">
        <v>6388069</v>
      </c>
      <c r="F410" s="24" t="s">
        <v>38</v>
      </c>
      <c r="G410" s="14" t="s">
        <v>1725</v>
      </c>
      <c r="H410" s="18" t="s">
        <v>1726</v>
      </c>
      <c r="I410" s="25" t="s">
        <v>102</v>
      </c>
      <c r="J410" s="25">
        <v>75</v>
      </c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 t="s">
        <v>1727</v>
      </c>
      <c r="X410" s="25" t="s">
        <v>1728</v>
      </c>
      <c r="Y410" s="25"/>
      <c r="Z410" s="25"/>
      <c r="AA410" s="25"/>
      <c r="AB410" s="25"/>
      <c r="AC410" s="25" t="str">
        <f>TRIM(StudentScore[[#This Row],[Student Email]])</f>
        <v>prompiriya.tho@student.mahidol.ac.th</v>
      </c>
    </row>
    <row r="411" spans="1:29" ht="27">
      <c r="A411" s="15">
        <v>405</v>
      </c>
      <c r="B411" s="16">
        <f t="shared" si="0"/>
        <v>63</v>
      </c>
      <c r="C411" s="27">
        <f t="shared" si="1"/>
        <v>2023</v>
      </c>
      <c r="D411" s="54"/>
      <c r="E411" s="23">
        <v>6388070</v>
      </c>
      <c r="F411" s="24" t="s">
        <v>38</v>
      </c>
      <c r="G411" s="14" t="s">
        <v>1729</v>
      </c>
      <c r="H411" s="18" t="s">
        <v>1730</v>
      </c>
      <c r="I411" s="25" t="s">
        <v>48</v>
      </c>
      <c r="J411" s="25">
        <v>710</v>
      </c>
      <c r="K411" s="25">
        <v>355</v>
      </c>
      <c r="L411" s="25">
        <v>355</v>
      </c>
      <c r="M411" s="25"/>
      <c r="N411" s="25"/>
      <c r="O411" s="25"/>
      <c r="P411" s="25"/>
      <c r="Q411" s="25"/>
      <c r="R411" s="25"/>
      <c r="S411" s="35">
        <v>44090</v>
      </c>
      <c r="T411" s="51">
        <v>44075</v>
      </c>
      <c r="U411" s="25"/>
      <c r="V411" s="25"/>
      <c r="W411" s="25" t="s">
        <v>1731</v>
      </c>
      <c r="X411" s="25" t="s">
        <v>1732</v>
      </c>
      <c r="Y411" s="25"/>
      <c r="Z411" s="25"/>
      <c r="AA411" s="25"/>
      <c r="AB411" s="25"/>
      <c r="AC411" s="25" t="str">
        <f>TRIM(StudentScore[[#This Row],[Student Email]])</f>
        <v>lapas.tim@student.mahidol.ac.th</v>
      </c>
    </row>
    <row r="412" spans="1:29" ht="27">
      <c r="A412" s="15">
        <v>406</v>
      </c>
      <c r="B412" s="30">
        <f t="shared" si="0"/>
        <v>63</v>
      </c>
      <c r="C412" s="27">
        <f t="shared" si="1"/>
        <v>2023</v>
      </c>
      <c r="D412" s="54"/>
      <c r="E412" s="23">
        <v>6388071</v>
      </c>
      <c r="F412" s="24" t="s">
        <v>38</v>
      </c>
      <c r="G412" s="14" t="s">
        <v>1733</v>
      </c>
      <c r="H412" s="18" t="s">
        <v>1734</v>
      </c>
      <c r="I412" s="25" t="s">
        <v>64</v>
      </c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 t="s">
        <v>1735</v>
      </c>
      <c r="X412" s="26" t="s">
        <v>1736</v>
      </c>
      <c r="Y412" s="25"/>
      <c r="Z412" s="25"/>
      <c r="AA412" s="38"/>
      <c r="AB412" s="38"/>
      <c r="AC412" s="25" t="str">
        <f>TRIM(StudentScore[[#This Row],[Student Email]])</f>
        <v>noppakorn.jin@student.mahidol.ac.th</v>
      </c>
    </row>
    <row r="413" spans="1:29" ht="27">
      <c r="A413" s="15">
        <v>407</v>
      </c>
      <c r="B413" s="30">
        <f t="shared" si="0"/>
        <v>63</v>
      </c>
      <c r="C413" s="27">
        <f t="shared" si="1"/>
        <v>2023</v>
      </c>
      <c r="D413" s="54"/>
      <c r="E413" s="23">
        <v>6388072</v>
      </c>
      <c r="F413" s="24" t="s">
        <v>117</v>
      </c>
      <c r="G413" s="14" t="s">
        <v>1737</v>
      </c>
      <c r="H413" s="18" t="s">
        <v>1738</v>
      </c>
      <c r="I413" s="25" t="s">
        <v>64</v>
      </c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 t="s">
        <v>1739</v>
      </c>
      <c r="X413" s="26" t="s">
        <v>1740</v>
      </c>
      <c r="Y413" s="25"/>
      <c r="Z413" s="28"/>
      <c r="AA413" s="38"/>
      <c r="AB413" s="38"/>
      <c r="AC413" s="25" t="str">
        <f>TRIM(StudentScore[[#This Row],[Student Email]])</f>
        <v>pimmada.tul@student.mahidol.ac.th</v>
      </c>
    </row>
    <row r="414" spans="1:29" ht="27">
      <c r="A414" s="15">
        <v>408</v>
      </c>
      <c r="B414" s="30">
        <f t="shared" si="0"/>
        <v>63</v>
      </c>
      <c r="C414" s="27">
        <f t="shared" si="1"/>
        <v>2023</v>
      </c>
      <c r="D414" s="54"/>
      <c r="E414" s="23">
        <v>6388073</v>
      </c>
      <c r="F414" s="24" t="s">
        <v>38</v>
      </c>
      <c r="G414" s="14" t="s">
        <v>1741</v>
      </c>
      <c r="H414" s="18" t="s">
        <v>1742</v>
      </c>
      <c r="I414" s="25" t="s">
        <v>102</v>
      </c>
      <c r="J414" s="25">
        <v>77</v>
      </c>
      <c r="K414" s="25"/>
      <c r="L414" s="25"/>
      <c r="M414" s="25"/>
      <c r="N414" s="25"/>
      <c r="O414" s="25"/>
      <c r="P414" s="25"/>
      <c r="Q414" s="25"/>
      <c r="R414" s="25"/>
      <c r="S414" s="25"/>
      <c r="T414" s="51">
        <v>44682</v>
      </c>
      <c r="U414" s="25"/>
      <c r="V414" s="25"/>
      <c r="W414" s="25" t="s">
        <v>1743</v>
      </c>
      <c r="X414" s="26" t="s">
        <v>1744</v>
      </c>
      <c r="Y414" s="25"/>
      <c r="Z414" s="28"/>
      <c r="AA414" s="38"/>
      <c r="AB414" s="38"/>
      <c r="AC414" s="25" t="str">
        <f>TRIM(StudentScore[[#This Row],[Student Email]])</f>
        <v>sinut.wat@student.mahidol.ac.th</v>
      </c>
    </row>
    <row r="415" spans="1:29" ht="27">
      <c r="A415" s="15">
        <v>409</v>
      </c>
      <c r="B415" s="33">
        <f t="shared" si="0"/>
        <v>63</v>
      </c>
      <c r="C415" s="27">
        <f t="shared" si="1"/>
        <v>2023</v>
      </c>
      <c r="D415" s="54"/>
      <c r="E415" s="21">
        <v>6388074</v>
      </c>
      <c r="F415" s="22" t="s">
        <v>38</v>
      </c>
      <c r="G415" s="14" t="s">
        <v>1745</v>
      </c>
      <c r="H415" s="18" t="s">
        <v>1746</v>
      </c>
      <c r="I415" s="25" t="s">
        <v>102</v>
      </c>
      <c r="J415" s="25">
        <v>85</v>
      </c>
      <c r="K415" s="25"/>
      <c r="L415" s="25"/>
      <c r="M415" s="25"/>
      <c r="N415" s="25"/>
      <c r="O415" s="25"/>
      <c r="P415" s="25"/>
      <c r="Q415" s="25"/>
      <c r="R415" s="25"/>
      <c r="S415" s="25"/>
      <c r="T415" s="51">
        <v>44531</v>
      </c>
      <c r="U415" s="25"/>
      <c r="V415" s="25"/>
      <c r="W415" s="25" t="s">
        <v>1747</v>
      </c>
      <c r="X415" s="26" t="s">
        <v>1748</v>
      </c>
      <c r="Y415" s="25"/>
      <c r="Z415" s="28"/>
      <c r="AA415" s="38"/>
      <c r="AB415" s="38"/>
      <c r="AC415" s="25" t="str">
        <f>TRIM(StudentScore[[#This Row],[Student Email]])</f>
        <v>thantamrong.jir@student.mahidol.ac.th</v>
      </c>
    </row>
    <row r="416" spans="1:29" ht="27">
      <c r="A416" s="15">
        <v>410</v>
      </c>
      <c r="B416" s="33">
        <f t="shared" si="0"/>
        <v>63</v>
      </c>
      <c r="C416" s="27">
        <f t="shared" si="1"/>
        <v>2023</v>
      </c>
      <c r="D416" s="54"/>
      <c r="E416" s="17">
        <v>6388075</v>
      </c>
      <c r="F416" s="14" t="s">
        <v>38</v>
      </c>
      <c r="G416" s="14" t="s">
        <v>1749</v>
      </c>
      <c r="H416" s="18" t="s">
        <v>1750</v>
      </c>
      <c r="I416" s="25" t="s">
        <v>53</v>
      </c>
      <c r="J416" s="25">
        <v>122</v>
      </c>
      <c r="K416" s="25">
        <v>65</v>
      </c>
      <c r="L416" s="25">
        <v>57</v>
      </c>
      <c r="M416" s="25"/>
      <c r="N416" s="25"/>
      <c r="O416" s="25"/>
      <c r="P416" s="25"/>
      <c r="Q416" s="25"/>
      <c r="R416" s="25"/>
      <c r="S416" s="26">
        <v>44638</v>
      </c>
      <c r="T416" s="25"/>
      <c r="U416" s="25"/>
      <c r="V416" s="25"/>
      <c r="W416" s="25" t="s">
        <v>1751</v>
      </c>
      <c r="X416" s="26" t="s">
        <v>1752</v>
      </c>
      <c r="Y416" s="42">
        <v>44656.384027777778</v>
      </c>
      <c r="Z416" s="25" t="s">
        <v>1753</v>
      </c>
      <c r="AA416" s="35"/>
      <c r="AB416" s="25"/>
      <c r="AC416" s="25" t="str">
        <f>TRIM(StudentScore[[#This Row],[Student Email]])</f>
        <v>anon.wic@student.mahidol.ac.th</v>
      </c>
    </row>
    <row r="417" spans="1:29" ht="27">
      <c r="A417" s="15">
        <v>411</v>
      </c>
      <c r="B417" s="33">
        <f t="shared" si="0"/>
        <v>63</v>
      </c>
      <c r="C417" s="27">
        <f t="shared" si="1"/>
        <v>2023</v>
      </c>
      <c r="D417" s="54"/>
      <c r="E417" s="19">
        <v>6388076</v>
      </c>
      <c r="F417" s="20" t="s">
        <v>38</v>
      </c>
      <c r="G417" s="14" t="s">
        <v>1754</v>
      </c>
      <c r="H417" s="18" t="s">
        <v>1755</v>
      </c>
      <c r="I417" s="25" t="s">
        <v>102</v>
      </c>
      <c r="J417" s="25">
        <v>85</v>
      </c>
      <c r="K417" s="25"/>
      <c r="L417" s="25"/>
      <c r="M417" s="25"/>
      <c r="N417" s="25"/>
      <c r="O417" s="25"/>
      <c r="P417" s="25"/>
      <c r="Q417" s="25"/>
      <c r="R417" s="25"/>
      <c r="S417" s="25"/>
      <c r="T417" s="51">
        <v>44682</v>
      </c>
      <c r="U417" s="25"/>
      <c r="V417" s="25"/>
      <c r="W417" s="25" t="s">
        <v>1756</v>
      </c>
      <c r="X417" s="25" t="s">
        <v>1757</v>
      </c>
      <c r="Y417" s="25"/>
      <c r="Z417" s="25"/>
      <c r="AA417" s="25"/>
      <c r="AB417" s="25"/>
      <c r="AC417" s="25" t="str">
        <f>TRIM(StudentScore[[#This Row],[Student Email]])</f>
        <v>phuritat.wij@student.mahidol.ac.th</v>
      </c>
    </row>
    <row r="418" spans="1:29" ht="27">
      <c r="A418" s="15">
        <v>412</v>
      </c>
      <c r="B418" s="33">
        <f t="shared" si="0"/>
        <v>63</v>
      </c>
      <c r="C418" s="27">
        <f t="shared" si="1"/>
        <v>2023</v>
      </c>
      <c r="D418" s="54"/>
      <c r="E418" s="21">
        <v>6388077</v>
      </c>
      <c r="F418" s="22" t="s">
        <v>38</v>
      </c>
      <c r="G418" s="14" t="s">
        <v>1758</v>
      </c>
      <c r="H418" s="18" t="s">
        <v>1759</v>
      </c>
      <c r="I418" s="25" t="s">
        <v>124</v>
      </c>
      <c r="J418" s="25">
        <v>6</v>
      </c>
      <c r="K418" s="25">
        <v>6</v>
      </c>
      <c r="L418" s="25">
        <v>6</v>
      </c>
      <c r="M418" s="25">
        <v>6</v>
      </c>
      <c r="N418" s="25">
        <v>6</v>
      </c>
      <c r="O418" s="25"/>
      <c r="P418" s="25"/>
      <c r="Q418" s="25"/>
      <c r="R418" s="25"/>
      <c r="S418" s="35">
        <v>43652</v>
      </c>
      <c r="T418" s="51">
        <v>44287</v>
      </c>
      <c r="U418" s="25"/>
      <c r="V418" s="25"/>
      <c r="W418" s="25" t="s">
        <v>1760</v>
      </c>
      <c r="X418" s="25" t="s">
        <v>1761</v>
      </c>
      <c r="Y418" s="25"/>
      <c r="Z418" s="25"/>
      <c r="AA418" s="25"/>
      <c r="AB418" s="25"/>
      <c r="AC418" s="25" t="str">
        <f>TRIM(StudentScore[[#This Row],[Student Email]])</f>
        <v>papon.jir@student.mahidol.ac.th</v>
      </c>
    </row>
    <row r="419" spans="1:29" ht="27">
      <c r="A419" s="15">
        <v>413</v>
      </c>
      <c r="B419" s="33">
        <f t="shared" si="0"/>
        <v>63</v>
      </c>
      <c r="C419" s="27">
        <f t="shared" si="1"/>
        <v>2023</v>
      </c>
      <c r="D419" s="54"/>
      <c r="E419" s="19">
        <v>6388078</v>
      </c>
      <c r="F419" s="20" t="s">
        <v>38</v>
      </c>
      <c r="G419" s="20" t="s">
        <v>1762</v>
      </c>
      <c r="H419" s="32" t="s">
        <v>1763</v>
      </c>
      <c r="I419" s="25" t="s">
        <v>64</v>
      </c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 t="s">
        <v>1764</v>
      </c>
      <c r="X419" s="25" t="s">
        <v>1765</v>
      </c>
      <c r="Y419" s="25"/>
      <c r="Z419" s="25"/>
      <c r="AA419" s="25"/>
      <c r="AB419" s="25"/>
      <c r="AC419" s="25" t="str">
        <f>TRIM(StudentScore[[#This Row],[Student Email]])</f>
        <v>suphawit.xu@student.mahidol.ac.th</v>
      </c>
    </row>
    <row r="420" spans="1:29" ht="27">
      <c r="A420" s="15">
        <v>414</v>
      </c>
      <c r="B420" s="33">
        <f t="shared" si="0"/>
        <v>63</v>
      </c>
      <c r="C420" s="27">
        <f t="shared" si="1"/>
        <v>2023</v>
      </c>
      <c r="D420" s="54"/>
      <c r="E420" s="21">
        <v>6388079</v>
      </c>
      <c r="F420" s="22" t="s">
        <v>38</v>
      </c>
      <c r="G420" s="14" t="s">
        <v>1766</v>
      </c>
      <c r="H420" s="18" t="s">
        <v>1767</v>
      </c>
      <c r="I420" s="25" t="s">
        <v>244</v>
      </c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 t="s">
        <v>1768</v>
      </c>
      <c r="X420" s="25" t="s">
        <v>1769</v>
      </c>
      <c r="Y420" s="25"/>
      <c r="Z420" s="25"/>
      <c r="AA420" s="25"/>
      <c r="AB420" s="25"/>
      <c r="AC420" s="25" t="str">
        <f>TRIM(StudentScore[[#This Row],[Student Email]])</f>
        <v>ratanon.ker@student.mahidol.ac.th</v>
      </c>
    </row>
    <row r="421" spans="1:29" ht="27">
      <c r="A421" s="15">
        <v>415</v>
      </c>
      <c r="B421" s="33">
        <f t="shared" si="0"/>
        <v>63</v>
      </c>
      <c r="C421" s="27">
        <f t="shared" si="1"/>
        <v>2023</v>
      </c>
      <c r="D421" s="54"/>
      <c r="E421" s="17">
        <v>6388080</v>
      </c>
      <c r="F421" s="14" t="s">
        <v>117</v>
      </c>
      <c r="G421" s="14" t="s">
        <v>1770</v>
      </c>
      <c r="H421" s="18" t="s">
        <v>1771</v>
      </c>
      <c r="I421" s="25" t="s">
        <v>64</v>
      </c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 t="s">
        <v>1772</v>
      </c>
      <c r="X421" s="25" t="s">
        <v>1773</v>
      </c>
      <c r="Y421" s="25"/>
      <c r="Z421" s="25"/>
      <c r="AA421" s="25"/>
      <c r="AB421" s="25"/>
      <c r="AC421" s="25" t="str">
        <f>TRIM(StudentScore[[#This Row],[Student Email]])</f>
        <v>boonyaporn.kha@student.mahidol.ac.th</v>
      </c>
    </row>
    <row r="422" spans="1:29" ht="27">
      <c r="A422" s="15">
        <v>416</v>
      </c>
      <c r="B422" s="33">
        <f t="shared" si="0"/>
        <v>63</v>
      </c>
      <c r="C422" s="27">
        <f t="shared" si="1"/>
        <v>2023</v>
      </c>
      <c r="D422" s="54"/>
      <c r="E422" s="17">
        <v>6388081</v>
      </c>
      <c r="F422" s="14" t="s">
        <v>38</v>
      </c>
      <c r="G422" s="14" t="s">
        <v>1774</v>
      </c>
      <c r="H422" s="18" t="s">
        <v>1775</v>
      </c>
      <c r="I422" s="25" t="s">
        <v>102</v>
      </c>
      <c r="J422" s="25">
        <v>89</v>
      </c>
      <c r="K422" s="25"/>
      <c r="L422" s="25"/>
      <c r="M422" s="25"/>
      <c r="N422" s="25"/>
      <c r="O422" s="25"/>
      <c r="P422" s="25"/>
      <c r="Q422" s="25"/>
      <c r="R422" s="25"/>
      <c r="S422" s="25"/>
      <c r="T422" s="51">
        <v>44531</v>
      </c>
      <c r="U422" s="25"/>
      <c r="V422" s="25"/>
      <c r="W422" s="25" t="s">
        <v>1776</v>
      </c>
      <c r="X422" s="25" t="s">
        <v>1777</v>
      </c>
      <c r="Y422" s="25"/>
      <c r="Z422" s="25"/>
      <c r="AA422" s="25"/>
      <c r="AB422" s="25"/>
      <c r="AC422" s="25" t="str">
        <f>TRIM(StudentScore[[#This Row],[Student Email]])</f>
        <v>treephob.kho@student.mahidol.ac.th</v>
      </c>
    </row>
    <row r="423" spans="1:29" ht="27">
      <c r="A423" s="15">
        <v>417</v>
      </c>
      <c r="B423" s="33">
        <f t="shared" si="0"/>
        <v>63</v>
      </c>
      <c r="C423" s="27">
        <f t="shared" si="1"/>
        <v>2023</v>
      </c>
      <c r="D423" s="54"/>
      <c r="E423" s="19">
        <v>6388082</v>
      </c>
      <c r="F423" s="20" t="s">
        <v>38</v>
      </c>
      <c r="G423" s="20" t="s">
        <v>1778</v>
      </c>
      <c r="H423" s="32" t="s">
        <v>1779</v>
      </c>
      <c r="I423" s="25" t="s">
        <v>244</v>
      </c>
      <c r="J423" s="25">
        <v>77</v>
      </c>
      <c r="K423" s="25"/>
      <c r="L423" s="25"/>
      <c r="M423" s="25"/>
      <c r="N423" s="25"/>
      <c r="O423" s="25"/>
      <c r="P423" s="25"/>
      <c r="Q423" s="25"/>
      <c r="R423" s="25"/>
      <c r="S423" s="25"/>
      <c r="T423" s="51">
        <v>44531</v>
      </c>
      <c r="U423" s="25"/>
      <c r="V423" s="25"/>
      <c r="W423" s="25" t="s">
        <v>1780</v>
      </c>
      <c r="X423" s="25" t="s">
        <v>1781</v>
      </c>
      <c r="Y423" s="25"/>
      <c r="Z423" s="25"/>
      <c r="AA423" s="25"/>
      <c r="AB423" s="25"/>
      <c r="AC423" s="25" t="str">
        <f>TRIM(StudentScore[[#This Row],[Student Email]])</f>
        <v>bherabhit.kia@student.mahidol.ac.th</v>
      </c>
    </row>
    <row r="424" spans="1:29" ht="27">
      <c r="A424" s="15">
        <v>418</v>
      </c>
      <c r="B424" s="33">
        <f t="shared" si="0"/>
        <v>63</v>
      </c>
      <c r="C424" s="27">
        <f t="shared" si="1"/>
        <v>2023</v>
      </c>
      <c r="D424" s="54"/>
      <c r="E424" s="21">
        <v>6388083</v>
      </c>
      <c r="F424" s="22" t="s">
        <v>38</v>
      </c>
      <c r="G424" s="14" t="s">
        <v>1782</v>
      </c>
      <c r="H424" s="18" t="s">
        <v>1783</v>
      </c>
      <c r="I424" s="25" t="s">
        <v>124</v>
      </c>
      <c r="J424" s="25">
        <v>6.5</v>
      </c>
      <c r="K424" s="25">
        <v>8</v>
      </c>
      <c r="L424" s="25">
        <v>7</v>
      </c>
      <c r="M424" s="25">
        <v>6</v>
      </c>
      <c r="N424" s="25">
        <v>4</v>
      </c>
      <c r="O424" s="25"/>
      <c r="P424" s="25"/>
      <c r="Q424" s="25"/>
      <c r="R424" s="25"/>
      <c r="S424" s="35">
        <v>43792</v>
      </c>
      <c r="T424" s="51">
        <v>44044</v>
      </c>
      <c r="U424" s="25"/>
      <c r="V424" s="25"/>
      <c r="W424" s="25" t="s">
        <v>1784</v>
      </c>
      <c r="X424" s="25" t="s">
        <v>1785</v>
      </c>
      <c r="Y424" s="25"/>
      <c r="Z424" s="25"/>
      <c r="AA424" s="25"/>
      <c r="AB424" s="25"/>
      <c r="AC424" s="25" t="str">
        <f>TRIM(StudentScore[[#This Row],[Student Email]])</f>
        <v>paniti.kie@student.mahidol.ac.th</v>
      </c>
    </row>
    <row r="425" spans="1:29" ht="27">
      <c r="A425" s="15">
        <v>419</v>
      </c>
      <c r="B425" s="33">
        <f t="shared" si="0"/>
        <v>63</v>
      </c>
      <c r="C425" s="27">
        <f t="shared" si="1"/>
        <v>2023</v>
      </c>
      <c r="D425" s="54"/>
      <c r="E425" s="17">
        <v>6388084</v>
      </c>
      <c r="F425" s="14" t="s">
        <v>38</v>
      </c>
      <c r="G425" s="14" t="s">
        <v>1786</v>
      </c>
      <c r="H425" s="18" t="s">
        <v>1787</v>
      </c>
      <c r="I425" s="25" t="s">
        <v>64</v>
      </c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 t="s">
        <v>1788</v>
      </c>
      <c r="X425" s="25" t="s">
        <v>1789</v>
      </c>
      <c r="Y425" s="25"/>
      <c r="Z425" s="25"/>
      <c r="AA425" s="25"/>
      <c r="AB425" s="25"/>
      <c r="AC425" s="25" t="str">
        <f>TRIM(StudentScore[[#This Row],[Student Email]])</f>
        <v>rathapol.kit@student.mahidol.ac.th</v>
      </c>
    </row>
    <row r="426" spans="1:29" ht="27">
      <c r="A426" s="15">
        <v>420</v>
      </c>
      <c r="B426" s="33">
        <f t="shared" si="0"/>
        <v>63</v>
      </c>
      <c r="C426" s="27">
        <f t="shared" si="1"/>
        <v>2023</v>
      </c>
      <c r="D426" s="54"/>
      <c r="E426" s="17">
        <v>6388085</v>
      </c>
      <c r="F426" s="14" t="s">
        <v>38</v>
      </c>
      <c r="G426" s="14" t="s">
        <v>1790</v>
      </c>
      <c r="H426" s="18" t="s">
        <v>1791</v>
      </c>
      <c r="I426" s="25" t="s">
        <v>124</v>
      </c>
      <c r="J426" s="25">
        <v>6.5</v>
      </c>
      <c r="K426" s="25">
        <v>6</v>
      </c>
      <c r="L426" s="25">
        <v>7</v>
      </c>
      <c r="M426" s="25">
        <v>6</v>
      </c>
      <c r="N426" s="25">
        <v>7</v>
      </c>
      <c r="O426" s="25"/>
      <c r="P426" s="25"/>
      <c r="Q426" s="25"/>
      <c r="R426" s="25"/>
      <c r="S426" s="35">
        <v>43834</v>
      </c>
      <c r="T426" s="51">
        <v>44197</v>
      </c>
      <c r="U426" s="25"/>
      <c r="V426" s="25"/>
      <c r="W426" s="25" t="s">
        <v>1792</v>
      </c>
      <c r="X426" s="25" t="s">
        <v>1793</v>
      </c>
      <c r="Y426" s="25"/>
      <c r="Z426" s="25"/>
      <c r="AA426" s="25"/>
      <c r="AB426" s="25"/>
      <c r="AC426" s="25" t="str">
        <f>TRIM(StudentScore[[#This Row],[Student Email]])</f>
        <v>jirayu.kli@student.mahidol.ac.th</v>
      </c>
    </row>
    <row r="427" spans="1:29" ht="27">
      <c r="A427" s="15">
        <v>421</v>
      </c>
      <c r="B427" s="33">
        <f t="shared" si="0"/>
        <v>63</v>
      </c>
      <c r="C427" s="27">
        <f t="shared" si="1"/>
        <v>2023</v>
      </c>
      <c r="D427" s="54"/>
      <c r="E427" s="19">
        <v>6388086</v>
      </c>
      <c r="F427" s="20" t="s">
        <v>38</v>
      </c>
      <c r="G427" s="14" t="s">
        <v>1794</v>
      </c>
      <c r="H427" s="18" t="s">
        <v>1795</v>
      </c>
      <c r="I427" s="25" t="s">
        <v>244</v>
      </c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 t="s">
        <v>1796</v>
      </c>
      <c r="X427" s="25" t="s">
        <v>1797</v>
      </c>
      <c r="Y427" s="25"/>
      <c r="Z427" s="25"/>
      <c r="AA427" s="25"/>
      <c r="AB427" s="25"/>
      <c r="AC427" s="25" t="str">
        <f>TRIM(StudentScore[[#This Row],[Student Email]])</f>
        <v>pongpaisit.kon@student.mahidol.ac.th</v>
      </c>
    </row>
    <row r="428" spans="1:29" ht="27">
      <c r="A428" s="15">
        <v>422</v>
      </c>
      <c r="B428" s="33">
        <f t="shared" si="0"/>
        <v>63</v>
      </c>
      <c r="C428" s="27">
        <f t="shared" si="1"/>
        <v>2023</v>
      </c>
      <c r="D428" s="54"/>
      <c r="E428" s="23">
        <v>6388087</v>
      </c>
      <c r="F428" s="24" t="s">
        <v>117</v>
      </c>
      <c r="G428" s="14" t="s">
        <v>1798</v>
      </c>
      <c r="H428" s="18" t="s">
        <v>1799</v>
      </c>
      <c r="I428" s="25" t="s">
        <v>64</v>
      </c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 t="s">
        <v>1800</v>
      </c>
      <c r="X428" s="25" t="s">
        <v>1801</v>
      </c>
      <c r="Y428" s="25"/>
      <c r="Z428" s="25"/>
      <c r="AA428" s="25"/>
      <c r="AB428" s="25"/>
      <c r="AC428" s="25" t="str">
        <f>TRIM(StudentScore[[#This Row],[Student Email]])</f>
        <v>chanisara.kot@student.mahidol.ac.th</v>
      </c>
    </row>
    <row r="429" spans="1:29" ht="27">
      <c r="A429" s="15">
        <v>423</v>
      </c>
      <c r="B429" s="33">
        <f t="shared" si="0"/>
        <v>63</v>
      </c>
      <c r="C429" s="27">
        <f t="shared" si="1"/>
        <v>2023</v>
      </c>
      <c r="D429" s="54"/>
      <c r="E429" s="23">
        <v>6388088</v>
      </c>
      <c r="F429" s="24" t="s">
        <v>117</v>
      </c>
      <c r="G429" s="14" t="s">
        <v>1433</v>
      </c>
      <c r="H429" s="18" t="s">
        <v>1802</v>
      </c>
      <c r="I429" s="25" t="s">
        <v>48</v>
      </c>
      <c r="J429" s="25">
        <v>715</v>
      </c>
      <c r="K429" s="25">
        <v>355</v>
      </c>
      <c r="L429" s="25">
        <v>360</v>
      </c>
      <c r="M429" s="25"/>
      <c r="N429" s="25"/>
      <c r="O429" s="25"/>
      <c r="P429" s="25"/>
      <c r="Q429" s="25"/>
      <c r="R429" s="25"/>
      <c r="S429" s="35">
        <v>44153</v>
      </c>
      <c r="T429" s="51">
        <v>44136</v>
      </c>
      <c r="U429" s="25"/>
      <c r="V429" s="25"/>
      <c r="W429" s="25" t="s">
        <v>1803</v>
      </c>
      <c r="X429" s="26" t="s">
        <v>1804</v>
      </c>
      <c r="Y429" s="25"/>
      <c r="Z429" s="25"/>
      <c r="AA429" s="35"/>
      <c r="AB429" s="25"/>
      <c r="AC429" s="25" t="str">
        <f>TRIM(StudentScore[[#This Row],[Student Email]])</f>
        <v>paveena.kum@student.mahidol.ac.th</v>
      </c>
    </row>
    <row r="430" spans="1:29" ht="27">
      <c r="A430" s="15">
        <v>424</v>
      </c>
      <c r="B430" s="33">
        <f t="shared" si="0"/>
        <v>63</v>
      </c>
      <c r="C430" s="27">
        <f t="shared" si="1"/>
        <v>2023</v>
      </c>
      <c r="D430" s="54"/>
      <c r="E430" s="23">
        <v>6388089</v>
      </c>
      <c r="F430" s="24" t="s">
        <v>38</v>
      </c>
      <c r="G430" s="14" t="s">
        <v>1805</v>
      </c>
      <c r="H430" s="18" t="s">
        <v>1806</v>
      </c>
      <c r="I430" s="25" t="s">
        <v>102</v>
      </c>
      <c r="J430" s="25">
        <v>90</v>
      </c>
      <c r="K430" s="25"/>
      <c r="L430" s="25"/>
      <c r="M430" s="25"/>
      <c r="N430" s="25"/>
      <c r="O430" s="25"/>
      <c r="P430" s="25"/>
      <c r="Q430" s="25"/>
      <c r="R430" s="25"/>
      <c r="S430" s="25"/>
      <c r="T430" s="51">
        <v>44531</v>
      </c>
      <c r="U430" s="25"/>
      <c r="V430" s="25"/>
      <c r="W430" s="25" t="s">
        <v>1807</v>
      </c>
      <c r="X430" s="26" t="s">
        <v>1808</v>
      </c>
      <c r="Y430" s="25"/>
      <c r="Z430" s="25"/>
      <c r="AA430" s="35"/>
      <c r="AB430" s="25"/>
      <c r="AC430" s="25" t="str">
        <f>TRIM(StudentScore[[#This Row],[Student Email]])</f>
        <v>wanus.kur@student.mahidol.ac.th</v>
      </c>
    </row>
    <row r="431" spans="1:29" ht="27">
      <c r="A431" s="15">
        <v>425</v>
      </c>
      <c r="B431" s="33">
        <f t="shared" si="0"/>
        <v>63</v>
      </c>
      <c r="C431" s="27">
        <f t="shared" si="1"/>
        <v>2023</v>
      </c>
      <c r="D431" s="54"/>
      <c r="E431" s="23">
        <v>6388090</v>
      </c>
      <c r="F431" s="24" t="s">
        <v>117</v>
      </c>
      <c r="G431" s="20" t="s">
        <v>1809</v>
      </c>
      <c r="H431" s="32" t="s">
        <v>1810</v>
      </c>
      <c r="I431" s="25" t="s">
        <v>64</v>
      </c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 t="s">
        <v>1811</v>
      </c>
      <c r="X431" s="26" t="s">
        <v>1812</v>
      </c>
      <c r="Y431" s="25"/>
      <c r="Z431" s="25"/>
      <c r="AA431" s="35"/>
      <c r="AB431" s="25"/>
      <c r="AC431" s="25" t="str">
        <f>TRIM(StudentScore[[#This Row],[Student Email]])</f>
        <v>kaewalin.lim@student.mahidol.ac.th</v>
      </c>
    </row>
    <row r="432" spans="1:29" ht="27">
      <c r="A432" s="15">
        <v>426</v>
      </c>
      <c r="B432" s="30">
        <f>VALUE(LEFT(E432,2))</f>
        <v>63</v>
      </c>
      <c r="C432" s="27">
        <f>VALUE("25"&amp;B432)-543+3</f>
        <v>2023</v>
      </c>
      <c r="D432" s="54"/>
      <c r="E432" s="23">
        <v>6388091</v>
      </c>
      <c r="F432" s="24" t="s">
        <v>117</v>
      </c>
      <c r="G432" s="14" t="s">
        <v>1813</v>
      </c>
      <c r="H432" s="18" t="s">
        <v>1814</v>
      </c>
      <c r="I432" s="25" t="s">
        <v>102</v>
      </c>
      <c r="J432" s="25">
        <v>80</v>
      </c>
      <c r="K432" s="25"/>
      <c r="L432" s="25"/>
      <c r="M432" s="25"/>
      <c r="N432" s="25"/>
      <c r="O432" s="25"/>
      <c r="P432" s="25"/>
      <c r="Q432" s="25"/>
      <c r="R432" s="25"/>
      <c r="S432" s="25"/>
      <c r="T432" s="51">
        <v>44531</v>
      </c>
      <c r="U432" s="25"/>
      <c r="V432" s="25"/>
      <c r="W432" s="25" t="s">
        <v>1815</v>
      </c>
      <c r="X432" s="26" t="s">
        <v>1816</v>
      </c>
      <c r="Y432" s="25"/>
      <c r="Z432" s="25"/>
      <c r="AA432" s="35"/>
      <c r="AB432" s="25"/>
      <c r="AC432" s="25" t="str">
        <f>TRIM(StudentScore[[#This Row],[Student Email]])</f>
        <v>napawan.lua@student.mahidol.ac.th</v>
      </c>
    </row>
    <row r="433" spans="1:29" ht="27">
      <c r="A433" s="15">
        <v>427</v>
      </c>
      <c r="B433" s="33">
        <f t="shared" ref="B433:B496" si="26">VALUE(LEFT(E433,2))</f>
        <v>63</v>
      </c>
      <c r="C433" s="27">
        <f t="shared" ref="C433:C496" si="27">VALUE("25"&amp;B433)-543+3</f>
        <v>2023</v>
      </c>
      <c r="D433" s="54"/>
      <c r="E433" s="23">
        <v>6388092</v>
      </c>
      <c r="F433" s="24" t="s">
        <v>38</v>
      </c>
      <c r="G433" s="20" t="s">
        <v>459</v>
      </c>
      <c r="H433" s="32" t="s">
        <v>1817</v>
      </c>
      <c r="I433" s="25" t="s">
        <v>64</v>
      </c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 t="s">
        <v>1818</v>
      </c>
      <c r="X433" s="26" t="s">
        <v>1819</v>
      </c>
      <c r="Y433" s="25"/>
      <c r="Z433" s="25"/>
      <c r="AA433" s="35"/>
      <c r="AB433" s="25"/>
      <c r="AC433" s="25" t="str">
        <f>TRIM(StudentScore[[#This Row],[Student Email]])</f>
        <v>nattapong.mum@student.mahidol.ac.th</v>
      </c>
    </row>
    <row r="434" spans="1:29" ht="27">
      <c r="A434" s="15">
        <v>428</v>
      </c>
      <c r="B434" s="33">
        <f t="shared" si="26"/>
        <v>63</v>
      </c>
      <c r="C434" s="27">
        <f t="shared" si="27"/>
        <v>2023</v>
      </c>
      <c r="D434" s="54"/>
      <c r="E434" s="19">
        <v>6388093</v>
      </c>
      <c r="F434" s="20" t="s">
        <v>38</v>
      </c>
      <c r="G434" s="20" t="s">
        <v>1820</v>
      </c>
      <c r="H434" s="32" t="s">
        <v>1821</v>
      </c>
      <c r="I434" s="25" t="s">
        <v>102</v>
      </c>
      <c r="J434" s="25">
        <v>86</v>
      </c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 t="s">
        <v>1822</v>
      </c>
      <c r="X434" s="26" t="s">
        <v>1823</v>
      </c>
      <c r="Y434" s="25"/>
      <c r="Z434" s="25"/>
      <c r="AA434" s="35"/>
      <c r="AB434" s="25"/>
      <c r="AC434" s="25" t="str">
        <f>TRIM(StudentScore[[#This Row],[Student Email]])</f>
        <v>nitit.nga@student.mahidol.ac.th</v>
      </c>
    </row>
    <row r="435" spans="1:29" ht="27">
      <c r="A435" s="15">
        <v>429</v>
      </c>
      <c r="B435" s="33">
        <f t="shared" si="26"/>
        <v>63</v>
      </c>
      <c r="C435" s="27">
        <f t="shared" si="27"/>
        <v>2023</v>
      </c>
      <c r="D435" s="54"/>
      <c r="E435" s="19">
        <v>6388094</v>
      </c>
      <c r="F435" s="20" t="s">
        <v>117</v>
      </c>
      <c r="G435" s="20" t="s">
        <v>1824</v>
      </c>
      <c r="H435" s="32" t="s">
        <v>1825</v>
      </c>
      <c r="I435" s="25" t="s">
        <v>64</v>
      </c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 t="s">
        <v>1826</v>
      </c>
      <c r="X435" s="26" t="s">
        <v>1827</v>
      </c>
      <c r="Y435" s="25"/>
      <c r="Z435" s="25"/>
      <c r="AA435" s="35"/>
      <c r="AB435" s="25"/>
      <c r="AC435" s="25" t="str">
        <f>TRIM(StudentScore[[#This Row],[Student Email]])</f>
        <v>vipavee.nga@student.mahidol.ac.th</v>
      </c>
    </row>
    <row r="436" spans="1:29" ht="27">
      <c r="A436" s="15">
        <v>430</v>
      </c>
      <c r="B436" s="33">
        <f t="shared" si="26"/>
        <v>63</v>
      </c>
      <c r="C436" s="27">
        <f t="shared" si="27"/>
        <v>2023</v>
      </c>
      <c r="D436" s="54"/>
      <c r="E436" s="19">
        <v>6388095</v>
      </c>
      <c r="F436" s="20" t="s">
        <v>38</v>
      </c>
      <c r="G436" s="20" t="s">
        <v>1828</v>
      </c>
      <c r="H436" s="32" t="s">
        <v>1829</v>
      </c>
      <c r="I436" s="25" t="s">
        <v>244</v>
      </c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 t="s">
        <v>1830</v>
      </c>
      <c r="X436" s="26" t="s">
        <v>1831</v>
      </c>
      <c r="Y436" s="25"/>
      <c r="Z436" s="25"/>
      <c r="AA436" s="35"/>
      <c r="AB436" s="25"/>
      <c r="AC436" s="25" t="str">
        <f>TRIM(StudentScore[[#This Row],[Student Email]])</f>
        <v>ttouch.pat@student.mahidol.ac.th</v>
      </c>
    </row>
    <row r="437" spans="1:29" ht="27">
      <c r="A437" s="15">
        <v>431</v>
      </c>
      <c r="B437" s="33">
        <f t="shared" si="26"/>
        <v>63</v>
      </c>
      <c r="C437" s="27">
        <f t="shared" si="27"/>
        <v>2023</v>
      </c>
      <c r="D437" s="54"/>
      <c r="E437" s="19">
        <v>6388096</v>
      </c>
      <c r="F437" s="20" t="s">
        <v>38</v>
      </c>
      <c r="G437" s="20" t="s">
        <v>1832</v>
      </c>
      <c r="H437" s="32" t="s">
        <v>1833</v>
      </c>
      <c r="I437" s="25" t="s">
        <v>64</v>
      </c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 t="s">
        <v>1834</v>
      </c>
      <c r="X437" s="26" t="s">
        <v>1835</v>
      </c>
      <c r="Y437" s="25"/>
      <c r="Z437" s="25"/>
      <c r="AA437" s="35"/>
      <c r="AB437" s="25"/>
      <c r="AC437" s="25" t="str">
        <f>TRIM(StudentScore[[#This Row],[Student Email]])</f>
        <v>suppanut.pho@student.mahidol.ac.th</v>
      </c>
    </row>
    <row r="438" spans="1:29" ht="27">
      <c r="A438" s="15">
        <v>432</v>
      </c>
      <c r="B438" s="33">
        <f t="shared" si="26"/>
        <v>63</v>
      </c>
      <c r="C438" s="27">
        <f t="shared" si="27"/>
        <v>2023</v>
      </c>
      <c r="D438" s="54"/>
      <c r="E438" s="19">
        <v>6388097</v>
      </c>
      <c r="F438" s="20" t="s">
        <v>38</v>
      </c>
      <c r="G438" s="20" t="s">
        <v>1836</v>
      </c>
      <c r="H438" s="32" t="s">
        <v>1837</v>
      </c>
      <c r="I438" s="25" t="s">
        <v>53</v>
      </c>
      <c r="J438" s="25">
        <v>98</v>
      </c>
      <c r="K438" s="25">
        <v>50</v>
      </c>
      <c r="L438" s="25">
        <v>48</v>
      </c>
      <c r="M438" s="25"/>
      <c r="N438" s="25"/>
      <c r="O438" s="25"/>
      <c r="P438" s="25"/>
      <c r="Q438" s="25"/>
      <c r="R438" s="25"/>
      <c r="S438" s="35">
        <v>44121</v>
      </c>
      <c r="T438" s="51">
        <v>44136</v>
      </c>
      <c r="U438" s="25"/>
      <c r="V438" s="25"/>
      <c r="W438" s="25" t="s">
        <v>1838</v>
      </c>
      <c r="X438" s="26" t="s">
        <v>1839</v>
      </c>
      <c r="Y438" s="25"/>
      <c r="Z438" s="25"/>
      <c r="AA438" s="35"/>
      <c r="AB438" s="25"/>
      <c r="AC438" s="25" t="str">
        <f>TRIM(StudentScore[[#This Row],[Student Email]])</f>
        <v>thanakij.pin@student.mahidol.ac.th</v>
      </c>
    </row>
    <row r="439" spans="1:29" ht="27">
      <c r="A439" s="15">
        <v>433</v>
      </c>
      <c r="B439" s="33">
        <f t="shared" si="26"/>
        <v>63</v>
      </c>
      <c r="C439" s="27">
        <f t="shared" si="27"/>
        <v>2023</v>
      </c>
      <c r="D439" s="54"/>
      <c r="E439" s="19">
        <v>6388098</v>
      </c>
      <c r="F439" s="20" t="s">
        <v>38</v>
      </c>
      <c r="G439" s="20" t="s">
        <v>1840</v>
      </c>
      <c r="H439" s="32" t="s">
        <v>1841</v>
      </c>
      <c r="I439" s="25" t="s">
        <v>53</v>
      </c>
      <c r="J439" s="25">
        <v>113</v>
      </c>
      <c r="K439" s="25">
        <v>57</v>
      </c>
      <c r="L439" s="25">
        <v>56</v>
      </c>
      <c r="M439" s="25"/>
      <c r="N439" s="25"/>
      <c r="O439" s="25"/>
      <c r="P439" s="25"/>
      <c r="Q439" s="25"/>
      <c r="R439" s="25"/>
      <c r="S439" s="26">
        <v>44636</v>
      </c>
      <c r="T439" s="35">
        <v>44669</v>
      </c>
      <c r="U439" s="25"/>
      <c r="V439" s="25"/>
      <c r="W439" s="25" t="s">
        <v>1842</v>
      </c>
      <c r="X439" s="26" t="s">
        <v>1843</v>
      </c>
      <c r="Y439" s="42">
        <v>44669.509884259256</v>
      </c>
      <c r="Z439" s="25" t="s">
        <v>1844</v>
      </c>
      <c r="AA439" s="35"/>
      <c r="AB439" s="25"/>
      <c r="AC439" s="25" t="str">
        <f>TRIM(StudentScore[[#This Row],[Student Email]])</f>
        <v>chayut.piy@student.mahidol.ac.th</v>
      </c>
    </row>
    <row r="440" spans="1:29" ht="27">
      <c r="A440" s="15">
        <v>434</v>
      </c>
      <c r="B440" s="33">
        <f t="shared" si="26"/>
        <v>63</v>
      </c>
      <c r="C440" s="27">
        <f t="shared" si="27"/>
        <v>2023</v>
      </c>
      <c r="D440" s="54"/>
      <c r="E440" s="19">
        <v>6388099</v>
      </c>
      <c r="F440" s="20" t="s">
        <v>38</v>
      </c>
      <c r="G440" s="20" t="s">
        <v>1845</v>
      </c>
      <c r="H440" s="32" t="s">
        <v>1846</v>
      </c>
      <c r="I440" s="25" t="s">
        <v>102</v>
      </c>
      <c r="J440" s="25">
        <v>83</v>
      </c>
      <c r="K440" s="25"/>
      <c r="L440" s="25"/>
      <c r="M440" s="25"/>
      <c r="N440" s="25"/>
      <c r="O440" s="25"/>
      <c r="P440" s="25"/>
      <c r="Q440" s="25"/>
      <c r="R440" s="25"/>
      <c r="S440" s="25"/>
      <c r="T440" s="51">
        <v>44531</v>
      </c>
      <c r="U440" s="25"/>
      <c r="V440" s="25"/>
      <c r="W440" s="25" t="s">
        <v>1847</v>
      </c>
      <c r="X440" s="26" t="s">
        <v>1848</v>
      </c>
      <c r="Y440" s="25"/>
      <c r="Z440" s="25"/>
      <c r="AA440" s="35"/>
      <c r="AB440" s="25"/>
      <c r="AC440" s="25" t="str">
        <f>TRIM(StudentScore[[#This Row],[Student Email]])</f>
        <v>kanin.pra@student.mahidol.ac.th</v>
      </c>
    </row>
    <row r="441" spans="1:29" ht="27">
      <c r="A441" s="15">
        <v>435</v>
      </c>
      <c r="B441" s="33">
        <f t="shared" si="26"/>
        <v>63</v>
      </c>
      <c r="C441" s="27">
        <f t="shared" si="27"/>
        <v>2023</v>
      </c>
      <c r="D441" s="54"/>
      <c r="E441" s="19">
        <v>6388100</v>
      </c>
      <c r="F441" s="20" t="s">
        <v>38</v>
      </c>
      <c r="G441" s="20" t="s">
        <v>1849</v>
      </c>
      <c r="H441" s="32" t="s">
        <v>1850</v>
      </c>
      <c r="I441" s="25" t="s">
        <v>102</v>
      </c>
      <c r="J441" s="25">
        <v>94</v>
      </c>
      <c r="K441" s="25"/>
      <c r="L441" s="25"/>
      <c r="M441" s="25"/>
      <c r="N441" s="25"/>
      <c r="O441" s="25"/>
      <c r="P441" s="25"/>
      <c r="Q441" s="25"/>
      <c r="R441" s="25"/>
      <c r="S441" s="25"/>
      <c r="T441" s="51">
        <v>44682</v>
      </c>
      <c r="U441" s="25"/>
      <c r="V441" s="25"/>
      <c r="W441" s="25" t="s">
        <v>1851</v>
      </c>
      <c r="X441" s="26" t="s">
        <v>1852</v>
      </c>
      <c r="Y441" s="25"/>
      <c r="Z441" s="25"/>
      <c r="AA441" s="35"/>
      <c r="AB441" s="25"/>
      <c r="AC441" s="25" t="str">
        <f>TRIM(StudentScore[[#This Row],[Student Email]])</f>
        <v>pheeraphat.pri@student.mahidol.ac.th</v>
      </c>
    </row>
    <row r="442" spans="1:29" ht="27">
      <c r="A442" s="15">
        <v>436</v>
      </c>
      <c r="B442" s="33">
        <f t="shared" si="26"/>
        <v>63</v>
      </c>
      <c r="C442" s="27">
        <f t="shared" si="27"/>
        <v>2023</v>
      </c>
      <c r="D442" s="54"/>
      <c r="E442" s="19">
        <v>6388101</v>
      </c>
      <c r="F442" s="20" t="s">
        <v>38</v>
      </c>
      <c r="G442" s="20" t="s">
        <v>1853</v>
      </c>
      <c r="H442" s="32" t="s">
        <v>1854</v>
      </c>
      <c r="I442" s="25" t="s">
        <v>53</v>
      </c>
      <c r="J442" s="25">
        <v>114</v>
      </c>
      <c r="K442" s="25">
        <v>54</v>
      </c>
      <c r="L442" s="25">
        <v>60</v>
      </c>
      <c r="M442" s="25"/>
      <c r="N442" s="25"/>
      <c r="O442" s="25"/>
      <c r="P442" s="25"/>
      <c r="Q442" s="25"/>
      <c r="R442" s="25"/>
      <c r="S442" s="35">
        <v>44121</v>
      </c>
      <c r="T442" s="51">
        <v>44136</v>
      </c>
      <c r="U442" s="25"/>
      <c r="V442" s="25"/>
      <c r="W442" s="25" t="s">
        <v>1855</v>
      </c>
      <c r="X442" s="26" t="s">
        <v>1856</v>
      </c>
      <c r="Y442" s="25"/>
      <c r="Z442" s="25"/>
      <c r="AA442" s="35"/>
      <c r="AB442" s="25"/>
      <c r="AC442" s="25" t="str">
        <f>TRIM(StudentScore[[#This Row],[Student Email]])</f>
        <v>jittiwat.san@student.mahidol.ac.th</v>
      </c>
    </row>
    <row r="443" spans="1:29" ht="27">
      <c r="A443" s="15">
        <v>437</v>
      </c>
      <c r="B443" s="33">
        <f t="shared" si="26"/>
        <v>63</v>
      </c>
      <c r="C443" s="27">
        <f t="shared" si="27"/>
        <v>2023</v>
      </c>
      <c r="D443" s="54"/>
      <c r="E443" s="19">
        <v>6388102</v>
      </c>
      <c r="F443" s="20" t="s">
        <v>117</v>
      </c>
      <c r="G443" s="20" t="s">
        <v>1857</v>
      </c>
      <c r="H443" s="32" t="s">
        <v>1858</v>
      </c>
      <c r="I443" s="25" t="s">
        <v>124</v>
      </c>
      <c r="J443" s="25">
        <v>8</v>
      </c>
      <c r="K443" s="25">
        <v>8.5</v>
      </c>
      <c r="L443" s="25">
        <v>9</v>
      </c>
      <c r="M443" s="25">
        <v>7</v>
      </c>
      <c r="N443" s="25">
        <v>7</v>
      </c>
      <c r="O443" s="25"/>
      <c r="P443" s="25"/>
      <c r="Q443" s="25"/>
      <c r="R443" s="25"/>
      <c r="S443" s="35">
        <v>44112</v>
      </c>
      <c r="T443" s="51">
        <v>44136</v>
      </c>
      <c r="U443" s="25"/>
      <c r="V443" s="25"/>
      <c r="W443" s="25" t="s">
        <v>1859</v>
      </c>
      <c r="X443" s="26" t="s">
        <v>1860</v>
      </c>
      <c r="Y443" s="25"/>
      <c r="Z443" s="25"/>
      <c r="AA443" s="35"/>
      <c r="AB443" s="25"/>
      <c r="AC443" s="25" t="str">
        <f>TRIM(StudentScore[[#This Row],[Student Email]])</f>
        <v>napahatai.sit@student.mahidol.ac.th</v>
      </c>
    </row>
    <row r="444" spans="1:29" ht="27">
      <c r="A444" s="15">
        <v>438</v>
      </c>
      <c r="B444" s="33">
        <f t="shared" si="26"/>
        <v>63</v>
      </c>
      <c r="C444" s="27">
        <f t="shared" si="27"/>
        <v>2023</v>
      </c>
      <c r="D444" s="54"/>
      <c r="E444" s="19">
        <v>6388103</v>
      </c>
      <c r="F444" s="20" t="s">
        <v>38</v>
      </c>
      <c r="G444" s="20" t="s">
        <v>1861</v>
      </c>
      <c r="H444" s="32" t="s">
        <v>1862</v>
      </c>
      <c r="I444" s="25" t="s">
        <v>48</v>
      </c>
      <c r="J444" s="25">
        <v>960</v>
      </c>
      <c r="K444" s="25">
        <v>480</v>
      </c>
      <c r="L444" s="25">
        <v>480</v>
      </c>
      <c r="M444" s="25"/>
      <c r="N444" s="25"/>
      <c r="O444" s="25"/>
      <c r="P444" s="25"/>
      <c r="Q444" s="25"/>
      <c r="R444" s="25"/>
      <c r="S444" s="26">
        <v>45042</v>
      </c>
      <c r="T444" s="35">
        <v>45057</v>
      </c>
      <c r="U444" s="25"/>
      <c r="V444" s="25" t="s">
        <v>688</v>
      </c>
      <c r="W444" s="25" t="s">
        <v>1863</v>
      </c>
      <c r="X444" s="26" t="s">
        <v>1864</v>
      </c>
      <c r="Y444" s="42">
        <v>45057.497685185182</v>
      </c>
      <c r="Z444" s="25" t="s">
        <v>1865</v>
      </c>
      <c r="AA444" s="35"/>
      <c r="AB444" s="25"/>
      <c r="AC444" s="25" t="str">
        <f>TRIM(StudentScore[[#This Row],[Student Email]])</f>
        <v>viphu.sop@student.mahidol.ac.th</v>
      </c>
    </row>
    <row r="445" spans="1:29" ht="27">
      <c r="A445" s="15">
        <v>439</v>
      </c>
      <c r="B445" s="33">
        <f t="shared" si="26"/>
        <v>63</v>
      </c>
      <c r="C445" s="27">
        <f t="shared" si="27"/>
        <v>2023</v>
      </c>
      <c r="D445" s="54"/>
      <c r="E445" s="19">
        <v>6388104</v>
      </c>
      <c r="F445" s="20" t="s">
        <v>38</v>
      </c>
      <c r="G445" s="20" t="s">
        <v>1866</v>
      </c>
      <c r="H445" s="32" t="s">
        <v>1867</v>
      </c>
      <c r="I445" s="25" t="s">
        <v>48</v>
      </c>
      <c r="J445" s="25">
        <v>785</v>
      </c>
      <c r="K445" s="25">
        <v>415</v>
      </c>
      <c r="L445" s="25">
        <v>370</v>
      </c>
      <c r="M445" s="25"/>
      <c r="N445" s="25"/>
      <c r="O445" s="25"/>
      <c r="P445" s="25"/>
      <c r="Q445" s="25"/>
      <c r="R445" s="25"/>
      <c r="S445" s="26">
        <v>44965</v>
      </c>
      <c r="T445" s="35">
        <v>44979</v>
      </c>
      <c r="U445" s="25"/>
      <c r="V445" s="25" t="s">
        <v>1</v>
      </c>
      <c r="W445" s="25" t="s">
        <v>1868</v>
      </c>
      <c r="X445" s="26" t="s">
        <v>1869</v>
      </c>
      <c r="Y445" s="42">
        <v>44979.38853009259</v>
      </c>
      <c r="Z445" s="25" t="s">
        <v>1870</v>
      </c>
      <c r="AA445" s="35"/>
      <c r="AB445" s="25"/>
      <c r="AC445" s="25" t="str">
        <f>TRIM(StudentScore[[#This Row],[Student Email]])</f>
        <v>peerawat.sor@student.mahidol.ac.th</v>
      </c>
    </row>
    <row r="446" spans="1:29" ht="27">
      <c r="A446" s="15">
        <v>440</v>
      </c>
      <c r="B446" s="33">
        <f t="shared" si="26"/>
        <v>63</v>
      </c>
      <c r="C446" s="27">
        <f t="shared" si="27"/>
        <v>2023</v>
      </c>
      <c r="D446" s="54"/>
      <c r="E446" s="19">
        <v>6388105</v>
      </c>
      <c r="F446" s="20" t="s">
        <v>117</v>
      </c>
      <c r="G446" s="20" t="s">
        <v>1871</v>
      </c>
      <c r="H446" s="32" t="s">
        <v>1872</v>
      </c>
      <c r="I446" s="25" t="s">
        <v>64</v>
      </c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 t="s">
        <v>1873</v>
      </c>
      <c r="X446" s="26" t="s">
        <v>1874</v>
      </c>
      <c r="Y446" s="25"/>
      <c r="Z446" s="25"/>
      <c r="AA446" s="35"/>
      <c r="AB446" s="25"/>
      <c r="AC446" s="25" t="str">
        <f>TRIM(StudentScore[[#This Row],[Student Email]])</f>
        <v>wiraporn.sot@student.mahidol.ac.th</v>
      </c>
    </row>
    <row r="447" spans="1:29" ht="27">
      <c r="A447" s="15">
        <v>441</v>
      </c>
      <c r="B447" s="33">
        <f t="shared" si="26"/>
        <v>63</v>
      </c>
      <c r="C447" s="27">
        <f t="shared" si="27"/>
        <v>2023</v>
      </c>
      <c r="D447" s="54"/>
      <c r="E447" s="19">
        <v>6388106</v>
      </c>
      <c r="F447" s="20" t="s">
        <v>117</v>
      </c>
      <c r="G447" s="20" t="s">
        <v>1875</v>
      </c>
      <c r="H447" s="32" t="s">
        <v>1876</v>
      </c>
      <c r="I447" s="25" t="s">
        <v>64</v>
      </c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 t="s">
        <v>1877</v>
      </c>
      <c r="X447" s="26" t="s">
        <v>1878</v>
      </c>
      <c r="Y447" s="25"/>
      <c r="Z447" s="25"/>
      <c r="AA447" s="35"/>
      <c r="AB447" s="25"/>
      <c r="AC447" s="25" t="str">
        <f>TRIM(StudentScore[[#This Row],[Student Email]])</f>
        <v>nantanat.sud@student.mahidol.ac.th</v>
      </c>
    </row>
    <row r="448" spans="1:29" ht="27">
      <c r="A448" s="15">
        <v>442</v>
      </c>
      <c r="B448" s="33">
        <f t="shared" si="26"/>
        <v>63</v>
      </c>
      <c r="C448" s="27">
        <f t="shared" si="27"/>
        <v>2023</v>
      </c>
      <c r="D448" s="54"/>
      <c r="E448" s="19">
        <v>6388107</v>
      </c>
      <c r="F448" s="20" t="s">
        <v>38</v>
      </c>
      <c r="G448" s="20" t="s">
        <v>1879</v>
      </c>
      <c r="H448" s="32" t="s">
        <v>1880</v>
      </c>
      <c r="I448" s="25" t="s">
        <v>53</v>
      </c>
      <c r="J448" s="25">
        <v>110</v>
      </c>
      <c r="K448" s="25">
        <v>53</v>
      </c>
      <c r="L448" s="25">
        <v>57</v>
      </c>
      <c r="M448" s="25"/>
      <c r="N448" s="25"/>
      <c r="O448" s="25"/>
      <c r="P448" s="25"/>
      <c r="Q448" s="25"/>
      <c r="R448" s="25"/>
      <c r="S448" s="26">
        <v>44975</v>
      </c>
      <c r="T448" s="35">
        <v>45026</v>
      </c>
      <c r="U448" s="25"/>
      <c r="V448" s="25"/>
      <c r="W448" s="25" t="s">
        <v>1881</v>
      </c>
      <c r="X448" s="26" t="s">
        <v>1882</v>
      </c>
      <c r="Y448" s="42">
        <v>45026.496747685182</v>
      </c>
      <c r="Z448" s="25" t="s">
        <v>1883</v>
      </c>
      <c r="AA448" s="35"/>
      <c r="AB448" s="25"/>
      <c r="AC448" s="25" t="str">
        <f>TRIM(StudentScore[[#This Row],[Student Email]])</f>
        <v>kanapon.sut@student.mahidol.ac.th</v>
      </c>
    </row>
    <row r="449" spans="1:29" ht="27">
      <c r="A449" s="15">
        <v>443</v>
      </c>
      <c r="B449" s="33">
        <f t="shared" si="26"/>
        <v>63</v>
      </c>
      <c r="C449" s="27">
        <f t="shared" si="27"/>
        <v>2023</v>
      </c>
      <c r="D449" s="54"/>
      <c r="E449" s="19">
        <v>6388108</v>
      </c>
      <c r="F449" s="20" t="s">
        <v>38</v>
      </c>
      <c r="G449" s="20" t="s">
        <v>1884</v>
      </c>
      <c r="H449" s="32" t="s">
        <v>1885</v>
      </c>
      <c r="I449" s="25" t="s">
        <v>102</v>
      </c>
      <c r="J449" s="25">
        <v>91</v>
      </c>
      <c r="K449" s="25"/>
      <c r="L449" s="25"/>
      <c r="M449" s="25"/>
      <c r="N449" s="25"/>
      <c r="O449" s="25"/>
      <c r="P449" s="25"/>
      <c r="Q449" s="25"/>
      <c r="R449" s="25"/>
      <c r="S449" s="25"/>
      <c r="T449" s="51">
        <v>44682</v>
      </c>
      <c r="U449" s="25"/>
      <c r="V449" s="25"/>
      <c r="W449" s="25" t="s">
        <v>1886</v>
      </c>
      <c r="X449" s="26" t="s">
        <v>1887</v>
      </c>
      <c r="Y449" s="25"/>
      <c r="Z449" s="25"/>
      <c r="AA449" s="35"/>
      <c r="AB449" s="25"/>
      <c r="AC449" s="25" t="str">
        <f>TRIM(StudentScore[[#This Row],[Student Email]])</f>
        <v>tun.ter@student.mahidol.ac.th</v>
      </c>
    </row>
    <row r="450" spans="1:29" ht="27">
      <c r="A450" s="15">
        <v>444</v>
      </c>
      <c r="B450" s="33">
        <f t="shared" si="26"/>
        <v>63</v>
      </c>
      <c r="C450" s="27">
        <f t="shared" si="27"/>
        <v>2023</v>
      </c>
      <c r="D450" s="54"/>
      <c r="E450" s="19">
        <v>6388109</v>
      </c>
      <c r="F450" s="20" t="s">
        <v>38</v>
      </c>
      <c r="G450" s="20" t="s">
        <v>1888</v>
      </c>
      <c r="H450" s="32" t="s">
        <v>1889</v>
      </c>
      <c r="I450" s="25" t="s">
        <v>53</v>
      </c>
      <c r="J450" s="25">
        <v>113</v>
      </c>
      <c r="K450" s="25"/>
      <c r="L450" s="25"/>
      <c r="M450" s="25"/>
      <c r="N450" s="25"/>
      <c r="O450" s="25"/>
      <c r="P450" s="25"/>
      <c r="Q450" s="25"/>
      <c r="R450" s="25"/>
      <c r="S450" s="35">
        <v>44121</v>
      </c>
      <c r="T450" s="35">
        <v>44945</v>
      </c>
      <c r="U450" s="25"/>
      <c r="V450" s="25"/>
      <c r="W450" s="25" t="s">
        <v>1890</v>
      </c>
      <c r="X450" s="26" t="s">
        <v>1891</v>
      </c>
      <c r="Y450" s="25"/>
      <c r="Z450" s="25"/>
      <c r="AA450" s="35"/>
      <c r="AB450" s="25"/>
      <c r="AC450" s="25" t="str">
        <f>TRIM(StudentScore[[#This Row],[Student Email]])</f>
        <v>suravich.tha@student.mahidol.ac.th</v>
      </c>
    </row>
    <row r="451" spans="1:29" ht="27">
      <c r="A451" s="15">
        <v>445</v>
      </c>
      <c r="B451" s="33">
        <f t="shared" si="26"/>
        <v>63</v>
      </c>
      <c r="C451" s="27">
        <f t="shared" si="27"/>
        <v>2023</v>
      </c>
      <c r="D451" s="54"/>
      <c r="E451" s="19">
        <v>6388110</v>
      </c>
      <c r="F451" s="20" t="s">
        <v>38</v>
      </c>
      <c r="G451" s="20" t="s">
        <v>1892</v>
      </c>
      <c r="H451" s="32" t="s">
        <v>1893</v>
      </c>
      <c r="I451" s="25" t="s">
        <v>64</v>
      </c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 t="s">
        <v>1894</v>
      </c>
      <c r="X451" s="26" t="s">
        <v>1895</v>
      </c>
      <c r="Y451" s="25"/>
      <c r="Z451" s="25"/>
      <c r="AA451" s="35"/>
      <c r="AB451" s="25"/>
      <c r="AC451" s="25" t="str">
        <f>TRIM(StudentScore[[#This Row],[Student Email]])</f>
        <v>pannavich.tha@student.mahidol.ac.th</v>
      </c>
    </row>
    <row r="452" spans="1:29" ht="27">
      <c r="A452" s="15">
        <v>446</v>
      </c>
      <c r="B452" s="33">
        <f t="shared" si="26"/>
        <v>63</v>
      </c>
      <c r="C452" s="27">
        <f t="shared" si="27"/>
        <v>2023</v>
      </c>
      <c r="D452" s="54"/>
      <c r="E452" s="19">
        <v>6388111</v>
      </c>
      <c r="F452" s="20" t="s">
        <v>38</v>
      </c>
      <c r="G452" s="20" t="s">
        <v>1896</v>
      </c>
      <c r="H452" s="32" t="s">
        <v>1897</v>
      </c>
      <c r="I452" s="25" t="s">
        <v>64</v>
      </c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 t="s">
        <v>1898</v>
      </c>
      <c r="X452" s="26" t="s">
        <v>1899</v>
      </c>
      <c r="Y452" s="25"/>
      <c r="Z452" s="25"/>
      <c r="AA452" s="35"/>
      <c r="AB452" s="25"/>
      <c r="AC452" s="25" t="str">
        <f>TRIM(StudentScore[[#This Row],[Student Email]])</f>
        <v>sarayut.the@student.mahidol.ac.th</v>
      </c>
    </row>
    <row r="453" spans="1:29" ht="27">
      <c r="A453" s="15">
        <v>447</v>
      </c>
      <c r="B453" s="33">
        <f t="shared" si="26"/>
        <v>63</v>
      </c>
      <c r="C453" s="27">
        <f t="shared" si="27"/>
        <v>2023</v>
      </c>
      <c r="D453" s="54"/>
      <c r="E453" s="19">
        <v>6388112</v>
      </c>
      <c r="F453" s="20" t="s">
        <v>38</v>
      </c>
      <c r="G453" s="20" t="s">
        <v>1900</v>
      </c>
      <c r="H453" s="32" t="s">
        <v>1901</v>
      </c>
      <c r="I453" s="25" t="s">
        <v>244</v>
      </c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 t="s">
        <v>1902</v>
      </c>
      <c r="X453" s="26" t="s">
        <v>1903</v>
      </c>
      <c r="Y453" s="25"/>
      <c r="Z453" s="25"/>
      <c r="AA453" s="35"/>
      <c r="AB453" s="25"/>
      <c r="AC453" s="25" t="str">
        <f>TRIM(StudentScore[[#This Row],[Student Email]])</f>
        <v>theetrat.tho@student.mahidol.ac.th</v>
      </c>
    </row>
    <row r="454" spans="1:29" ht="27">
      <c r="A454" s="15">
        <v>448</v>
      </c>
      <c r="B454" s="33">
        <f t="shared" si="26"/>
        <v>63</v>
      </c>
      <c r="C454" s="27">
        <f t="shared" si="27"/>
        <v>2023</v>
      </c>
      <c r="D454" s="54"/>
      <c r="E454" s="19">
        <v>6388113</v>
      </c>
      <c r="F454" s="20" t="s">
        <v>38</v>
      </c>
      <c r="G454" s="20" t="s">
        <v>1904</v>
      </c>
      <c r="H454" s="32" t="s">
        <v>1905</v>
      </c>
      <c r="I454" s="25" t="s">
        <v>64</v>
      </c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 t="s">
        <v>1906</v>
      </c>
      <c r="X454" s="26" t="s">
        <v>1907</v>
      </c>
      <c r="Y454" s="25"/>
      <c r="Z454" s="25"/>
      <c r="AA454" s="35"/>
      <c r="AB454" s="25"/>
      <c r="AC454" s="25" t="str">
        <f>TRIM(StudentScore[[#This Row],[Student Email]])</f>
        <v>poomrapee.war@student.mahidol.ac.th</v>
      </c>
    </row>
    <row r="455" spans="1:29" ht="27">
      <c r="A455" s="15">
        <v>449</v>
      </c>
      <c r="B455" s="33">
        <f t="shared" si="26"/>
        <v>63</v>
      </c>
      <c r="C455" s="27">
        <f t="shared" si="27"/>
        <v>2023</v>
      </c>
      <c r="D455" s="54"/>
      <c r="E455" s="19">
        <v>6388114</v>
      </c>
      <c r="F455" s="20" t="s">
        <v>38</v>
      </c>
      <c r="G455" s="20" t="s">
        <v>1908</v>
      </c>
      <c r="H455" s="32" t="s">
        <v>1909</v>
      </c>
      <c r="I455" s="25" t="s">
        <v>102</v>
      </c>
      <c r="J455" s="25">
        <v>76</v>
      </c>
      <c r="K455" s="25"/>
      <c r="L455" s="25"/>
      <c r="M455" s="25"/>
      <c r="N455" s="25"/>
      <c r="O455" s="25"/>
      <c r="P455" s="25"/>
      <c r="Q455" s="25"/>
      <c r="R455" s="25"/>
      <c r="S455" s="25"/>
      <c r="T455" s="51">
        <v>44531</v>
      </c>
      <c r="U455" s="25"/>
      <c r="V455" s="25"/>
      <c r="W455" s="25" t="s">
        <v>1910</v>
      </c>
      <c r="X455" s="26" t="s">
        <v>1911</v>
      </c>
      <c r="Y455" s="25"/>
      <c r="Z455" s="25"/>
      <c r="AA455" s="35"/>
      <c r="AB455" s="25"/>
      <c r="AC455" s="25" t="str">
        <f>TRIM(StudentScore[[#This Row],[Student Email]])</f>
        <v>ronakrit.wat@student.mahidol.ac.th</v>
      </c>
    </row>
    <row r="456" spans="1:29" ht="27">
      <c r="A456" s="15">
        <v>450</v>
      </c>
      <c r="B456" s="33">
        <f t="shared" si="26"/>
        <v>63</v>
      </c>
      <c r="C456" s="27">
        <f t="shared" si="27"/>
        <v>2023</v>
      </c>
      <c r="D456" s="54"/>
      <c r="E456" s="19">
        <v>6388115</v>
      </c>
      <c r="F456" s="20" t="s">
        <v>117</v>
      </c>
      <c r="G456" s="20" t="s">
        <v>1912</v>
      </c>
      <c r="H456" s="32" t="s">
        <v>1913</v>
      </c>
      <c r="I456" s="25" t="s">
        <v>64</v>
      </c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 t="s">
        <v>1914</v>
      </c>
      <c r="X456" s="26" t="s">
        <v>1915</v>
      </c>
      <c r="Y456" s="25"/>
      <c r="Z456" s="25"/>
      <c r="AA456" s="35"/>
      <c r="AB456" s="25"/>
      <c r="AC456" s="25" t="str">
        <f>TRIM(StudentScore[[#This Row],[Student Email]])</f>
        <v>nubthong.wor@student.mahidol.ac.th</v>
      </c>
    </row>
    <row r="457" spans="1:29" ht="27">
      <c r="A457" s="15">
        <v>451</v>
      </c>
      <c r="B457" s="33">
        <f t="shared" si="26"/>
        <v>63</v>
      </c>
      <c r="C457" s="27">
        <f t="shared" si="27"/>
        <v>2023</v>
      </c>
      <c r="D457" s="54"/>
      <c r="E457" s="19">
        <v>6388116</v>
      </c>
      <c r="F457" s="20" t="s">
        <v>38</v>
      </c>
      <c r="G457" s="20" t="s">
        <v>1916</v>
      </c>
      <c r="H457" s="32" t="s">
        <v>1917</v>
      </c>
      <c r="I457" s="25" t="s">
        <v>244</v>
      </c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 t="s">
        <v>1918</v>
      </c>
      <c r="X457" s="26" t="s">
        <v>1919</v>
      </c>
      <c r="Y457" s="25"/>
      <c r="Z457" s="25"/>
      <c r="AA457" s="35"/>
      <c r="AB457" s="25"/>
      <c r="AC457" s="25" t="str">
        <f>TRIM(StudentScore[[#This Row],[Student Email]])</f>
        <v>akekorn.yor@student.mahidol.ac.th</v>
      </c>
    </row>
    <row r="458" spans="1:29" ht="27">
      <c r="A458" s="15">
        <v>452</v>
      </c>
      <c r="B458" s="33">
        <f t="shared" si="26"/>
        <v>63</v>
      </c>
      <c r="C458" s="27">
        <f t="shared" si="27"/>
        <v>2023</v>
      </c>
      <c r="D458" s="54"/>
      <c r="E458" s="19">
        <v>6388117</v>
      </c>
      <c r="F458" s="20" t="s">
        <v>38</v>
      </c>
      <c r="G458" s="20" t="s">
        <v>1920</v>
      </c>
      <c r="H458" s="32" t="s">
        <v>1921</v>
      </c>
      <c r="I458" s="25" t="s">
        <v>53</v>
      </c>
      <c r="J458" s="25">
        <v>99</v>
      </c>
      <c r="K458" s="25">
        <v>57</v>
      </c>
      <c r="L458" s="25">
        <v>42</v>
      </c>
      <c r="M458" s="25"/>
      <c r="N458" s="25"/>
      <c r="O458" s="25"/>
      <c r="P458" s="25"/>
      <c r="Q458" s="25"/>
      <c r="R458" s="25"/>
      <c r="S458" s="35">
        <v>44083</v>
      </c>
      <c r="T458" s="51">
        <v>44105</v>
      </c>
      <c r="U458" s="25"/>
      <c r="V458" s="25"/>
      <c r="W458" s="25" t="s">
        <v>1922</v>
      </c>
      <c r="X458" s="26" t="s">
        <v>1923</v>
      </c>
      <c r="Y458" s="25"/>
      <c r="Z458" s="25"/>
      <c r="AA458" s="35"/>
      <c r="AB458" s="25"/>
      <c r="AC458" s="25" t="str">
        <f>TRIM(StudentScore[[#This Row],[Student Email]])</f>
        <v>siranut.aka@student.mahidol.ac.th</v>
      </c>
    </row>
    <row r="459" spans="1:29" ht="27">
      <c r="A459" s="15">
        <v>453</v>
      </c>
      <c r="B459" s="33">
        <f t="shared" si="26"/>
        <v>63</v>
      </c>
      <c r="C459" s="27">
        <f t="shared" si="27"/>
        <v>2023</v>
      </c>
      <c r="D459" s="54"/>
      <c r="E459" s="19">
        <v>6388118</v>
      </c>
      <c r="F459" s="20" t="s">
        <v>38</v>
      </c>
      <c r="G459" s="20" t="s">
        <v>1924</v>
      </c>
      <c r="H459" s="32" t="s">
        <v>1925</v>
      </c>
      <c r="I459" s="25" t="s">
        <v>53</v>
      </c>
      <c r="J459" s="25">
        <v>91</v>
      </c>
      <c r="K459" s="25">
        <v>50</v>
      </c>
      <c r="L459" s="25">
        <v>41</v>
      </c>
      <c r="M459" s="25"/>
      <c r="N459" s="25"/>
      <c r="O459" s="25"/>
      <c r="P459" s="25"/>
      <c r="Q459" s="25"/>
      <c r="R459" s="25"/>
      <c r="S459" s="26">
        <v>44912</v>
      </c>
      <c r="T459" s="35">
        <v>44938</v>
      </c>
      <c r="U459" s="25"/>
      <c r="V459" s="25"/>
      <c r="W459" s="25" t="s">
        <v>1926</v>
      </c>
      <c r="X459" s="26" t="s">
        <v>1927</v>
      </c>
      <c r="Y459" s="42">
        <v>44938.534837962965</v>
      </c>
      <c r="Z459" s="25" t="s">
        <v>1928</v>
      </c>
      <c r="AA459" s="35"/>
      <c r="AB459" s="25"/>
      <c r="AC459" s="25" t="str">
        <f>TRIM(StudentScore[[#This Row],[Student Email]])</f>
        <v>danaidech.ard@student.mahidol.ac.th</v>
      </c>
    </row>
    <row r="460" spans="1:29" ht="27">
      <c r="A460" s="15">
        <v>454</v>
      </c>
      <c r="B460" s="33">
        <f t="shared" si="26"/>
        <v>63</v>
      </c>
      <c r="C460" s="27">
        <f t="shared" si="27"/>
        <v>2023</v>
      </c>
      <c r="D460" s="54"/>
      <c r="E460" s="19">
        <v>6388119</v>
      </c>
      <c r="F460" s="20" t="s">
        <v>38</v>
      </c>
      <c r="G460" s="20" t="s">
        <v>1929</v>
      </c>
      <c r="H460" s="32" t="s">
        <v>1930</v>
      </c>
      <c r="I460" s="25" t="s">
        <v>48</v>
      </c>
      <c r="J460" s="25">
        <v>750</v>
      </c>
      <c r="K460" s="25">
        <v>415</v>
      </c>
      <c r="L460" s="25">
        <v>335</v>
      </c>
      <c r="M460" s="25"/>
      <c r="N460" s="25"/>
      <c r="O460" s="25"/>
      <c r="P460" s="25"/>
      <c r="Q460" s="25"/>
      <c r="R460" s="25"/>
      <c r="S460" s="35">
        <v>43794</v>
      </c>
      <c r="T460" s="51">
        <v>44105</v>
      </c>
      <c r="U460" s="25"/>
      <c r="V460" s="25"/>
      <c r="W460" s="25" t="s">
        <v>1931</v>
      </c>
      <c r="X460" s="26" t="s">
        <v>1932</v>
      </c>
      <c r="Y460" s="25"/>
      <c r="Z460" s="25"/>
      <c r="AA460" s="35"/>
      <c r="AB460" s="25"/>
      <c r="AC460" s="25" t="str">
        <f>TRIM(StudentScore[[#This Row],[Student Email]])</f>
        <v>kittipat.arp@student.mahidol.ac.th</v>
      </c>
    </row>
    <row r="461" spans="1:29" ht="27">
      <c r="A461" s="15">
        <v>455</v>
      </c>
      <c r="B461" s="33">
        <f t="shared" si="26"/>
        <v>63</v>
      </c>
      <c r="C461" s="27">
        <f t="shared" si="27"/>
        <v>2023</v>
      </c>
      <c r="D461" s="54"/>
      <c r="E461" s="19">
        <v>6388120</v>
      </c>
      <c r="F461" s="20" t="s">
        <v>38</v>
      </c>
      <c r="G461" s="20" t="s">
        <v>1933</v>
      </c>
      <c r="H461" s="32" t="s">
        <v>1934</v>
      </c>
      <c r="I461" s="25" t="s">
        <v>64</v>
      </c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 t="s">
        <v>1935</v>
      </c>
      <c r="X461" s="26" t="s">
        <v>1936</v>
      </c>
      <c r="Y461" s="25"/>
      <c r="Z461" s="25"/>
      <c r="AA461" s="35"/>
      <c r="AB461" s="25"/>
      <c r="AC461" s="25" t="str">
        <f>TRIM(StudentScore[[#This Row],[Student Email]])</f>
        <v>krittapat.don@student.mahidol.ac.th</v>
      </c>
    </row>
    <row r="462" spans="1:29" ht="27">
      <c r="A462" s="15">
        <v>456</v>
      </c>
      <c r="B462" s="33">
        <f t="shared" si="26"/>
        <v>63</v>
      </c>
      <c r="C462" s="27">
        <f t="shared" si="27"/>
        <v>2023</v>
      </c>
      <c r="D462" s="54"/>
      <c r="E462" s="19">
        <v>6388121</v>
      </c>
      <c r="F462" s="20" t="s">
        <v>38</v>
      </c>
      <c r="G462" s="20" t="s">
        <v>1937</v>
      </c>
      <c r="H462" s="32" t="s">
        <v>1938</v>
      </c>
      <c r="I462" s="25" t="s">
        <v>64</v>
      </c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 t="s">
        <v>1939</v>
      </c>
      <c r="X462" s="26" t="s">
        <v>1940</v>
      </c>
      <c r="Y462" s="25"/>
      <c r="Z462" s="25"/>
      <c r="AA462" s="35"/>
      <c r="AB462" s="25"/>
      <c r="AC462" s="25" t="str">
        <f>TRIM(StudentScore[[#This Row],[Student Email]])</f>
        <v>wachirawit.arc@student.mahidol.ac.th</v>
      </c>
    </row>
    <row r="463" spans="1:29" ht="27">
      <c r="A463" s="15">
        <v>457</v>
      </c>
      <c r="B463" s="33">
        <f t="shared" si="26"/>
        <v>63</v>
      </c>
      <c r="C463" s="27">
        <f t="shared" si="27"/>
        <v>2023</v>
      </c>
      <c r="D463" s="54"/>
      <c r="E463" s="19">
        <v>6388122</v>
      </c>
      <c r="F463" s="20" t="s">
        <v>117</v>
      </c>
      <c r="G463" s="20" t="s">
        <v>1941</v>
      </c>
      <c r="H463" s="32" t="s">
        <v>1942</v>
      </c>
      <c r="I463" s="25" t="s">
        <v>48</v>
      </c>
      <c r="J463" s="25">
        <v>685</v>
      </c>
      <c r="K463" s="25">
        <v>375</v>
      </c>
      <c r="L463" s="25">
        <v>310</v>
      </c>
      <c r="M463" s="25"/>
      <c r="N463" s="25"/>
      <c r="O463" s="25"/>
      <c r="P463" s="25"/>
      <c r="Q463" s="25"/>
      <c r="R463" s="25"/>
      <c r="S463" s="35">
        <v>44090</v>
      </c>
      <c r="T463" s="51">
        <v>44075</v>
      </c>
      <c r="U463" s="25"/>
      <c r="V463" s="25"/>
      <c r="W463" s="25" t="s">
        <v>1943</v>
      </c>
      <c r="X463" s="26" t="s">
        <v>1944</v>
      </c>
      <c r="Y463" s="25"/>
      <c r="Z463" s="25"/>
      <c r="AA463" s="35"/>
      <c r="AB463" s="25"/>
      <c r="AC463" s="25" t="str">
        <f>TRIM(StudentScore[[#This Row],[Student Email]])</f>
        <v>warisa.kon@student.mahidol.ac.th</v>
      </c>
    </row>
    <row r="464" spans="1:29" ht="27">
      <c r="A464" s="15">
        <v>458</v>
      </c>
      <c r="B464" s="33">
        <f t="shared" si="26"/>
        <v>63</v>
      </c>
      <c r="C464" s="27">
        <f t="shared" si="27"/>
        <v>2023</v>
      </c>
      <c r="D464" s="54"/>
      <c r="E464" s="19">
        <v>6388123</v>
      </c>
      <c r="F464" s="20" t="s">
        <v>117</v>
      </c>
      <c r="G464" s="20" t="s">
        <v>1945</v>
      </c>
      <c r="H464" s="32" t="s">
        <v>1946</v>
      </c>
      <c r="I464" s="25" t="s">
        <v>64</v>
      </c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 t="s">
        <v>1947</v>
      </c>
      <c r="X464" s="26" t="s">
        <v>1948</v>
      </c>
      <c r="Y464" s="25"/>
      <c r="Z464" s="25"/>
      <c r="AA464" s="35"/>
      <c r="AB464" s="25"/>
      <c r="AC464" s="25" t="str">
        <f>TRIM(StudentScore[[#This Row],[Student Email]])</f>
        <v>kornkanok.kos@student.mahidol.ac.th</v>
      </c>
    </row>
    <row r="465" spans="1:29" ht="27">
      <c r="A465" s="15">
        <v>459</v>
      </c>
      <c r="B465" s="33">
        <f t="shared" si="26"/>
        <v>63</v>
      </c>
      <c r="C465" s="27">
        <f t="shared" si="27"/>
        <v>2023</v>
      </c>
      <c r="D465" s="54"/>
      <c r="E465" s="19">
        <v>6388124</v>
      </c>
      <c r="F465" s="20" t="s">
        <v>38</v>
      </c>
      <c r="G465" s="20" t="s">
        <v>1949</v>
      </c>
      <c r="H465" s="32" t="s">
        <v>1950</v>
      </c>
      <c r="I465" s="25" t="s">
        <v>64</v>
      </c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 t="s">
        <v>1951</v>
      </c>
      <c r="X465" s="26" t="s">
        <v>1952</v>
      </c>
      <c r="Y465" s="25"/>
      <c r="Z465" s="25"/>
      <c r="AA465" s="35"/>
      <c r="AB465" s="25"/>
      <c r="AC465" s="25" t="str">
        <f>TRIM(StudentScore[[#This Row],[Student Email]])</f>
        <v>izada.ler@student.mahidol.ac.th</v>
      </c>
    </row>
    <row r="466" spans="1:29" ht="27">
      <c r="A466" s="15">
        <v>460</v>
      </c>
      <c r="B466" s="33">
        <f t="shared" si="26"/>
        <v>63</v>
      </c>
      <c r="C466" s="27">
        <f t="shared" si="27"/>
        <v>2023</v>
      </c>
      <c r="D466" s="54"/>
      <c r="E466" s="19">
        <v>6388125</v>
      </c>
      <c r="F466" s="20" t="s">
        <v>117</v>
      </c>
      <c r="G466" s="20" t="s">
        <v>1953</v>
      </c>
      <c r="H466" s="32" t="s">
        <v>1954</v>
      </c>
      <c r="I466" s="25" t="s">
        <v>244</v>
      </c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 t="s">
        <v>1955</v>
      </c>
      <c r="X466" s="26" t="s">
        <v>1956</v>
      </c>
      <c r="Y466" s="25"/>
      <c r="Z466" s="25"/>
      <c r="AA466" s="35"/>
      <c r="AB466" s="25"/>
      <c r="AC466" s="25" t="str">
        <f>TRIM(StudentScore[[#This Row],[Student Email]])</f>
        <v>phornnapat.bud@student.mahidol.ac.th</v>
      </c>
    </row>
    <row r="467" spans="1:29" ht="27">
      <c r="A467" s="15">
        <v>461</v>
      </c>
      <c r="B467" s="33">
        <f t="shared" si="26"/>
        <v>63</v>
      </c>
      <c r="C467" s="27">
        <f t="shared" si="27"/>
        <v>2023</v>
      </c>
      <c r="D467" s="54"/>
      <c r="E467" s="19">
        <v>6388126</v>
      </c>
      <c r="F467" s="20" t="s">
        <v>117</v>
      </c>
      <c r="G467" s="20" t="s">
        <v>1957</v>
      </c>
      <c r="H467" s="32" t="s">
        <v>1958</v>
      </c>
      <c r="I467" s="25" t="s">
        <v>102</v>
      </c>
      <c r="J467" s="25">
        <v>90</v>
      </c>
      <c r="K467" s="25"/>
      <c r="L467" s="25"/>
      <c r="M467" s="25"/>
      <c r="N467" s="25"/>
      <c r="O467" s="25"/>
      <c r="P467" s="25"/>
      <c r="Q467" s="25"/>
      <c r="R467" s="25"/>
      <c r="S467" s="25"/>
      <c r="T467" s="51">
        <v>44531</v>
      </c>
      <c r="U467" s="25"/>
      <c r="V467" s="25"/>
      <c r="W467" s="25" t="s">
        <v>1959</v>
      </c>
      <c r="X467" s="26" t="s">
        <v>1960</v>
      </c>
      <c r="Y467" s="25"/>
      <c r="Z467" s="25"/>
      <c r="AA467" s="35"/>
      <c r="AB467" s="25"/>
      <c r="AC467" s="25" t="str">
        <f>TRIM(StudentScore[[#This Row],[Student Email]])</f>
        <v>apichaya.mae@student.mahidol.ac.th</v>
      </c>
    </row>
    <row r="468" spans="1:29" ht="27">
      <c r="A468" s="15">
        <v>462</v>
      </c>
      <c r="B468" s="33">
        <f t="shared" si="26"/>
        <v>63</v>
      </c>
      <c r="C468" s="27">
        <f t="shared" si="27"/>
        <v>2023</v>
      </c>
      <c r="D468" s="54"/>
      <c r="E468" s="19">
        <v>6388127</v>
      </c>
      <c r="F468" s="20" t="s">
        <v>38</v>
      </c>
      <c r="G468" s="20" t="s">
        <v>1961</v>
      </c>
      <c r="H468" s="32" t="s">
        <v>1962</v>
      </c>
      <c r="I468" s="25" t="s">
        <v>124</v>
      </c>
      <c r="J468" s="25">
        <v>7.5</v>
      </c>
      <c r="K468" s="25">
        <v>8.5</v>
      </c>
      <c r="L468" s="25">
        <v>8</v>
      </c>
      <c r="M468" s="25">
        <v>6</v>
      </c>
      <c r="N468" s="25">
        <v>7</v>
      </c>
      <c r="O468" s="25"/>
      <c r="P468" s="25"/>
      <c r="Q468" s="25"/>
      <c r="R468" s="25"/>
      <c r="S468" s="35">
        <v>43573</v>
      </c>
      <c r="T468" s="51">
        <v>44105</v>
      </c>
      <c r="U468" s="25"/>
      <c r="V468" s="25"/>
      <c r="W468" s="25" t="s">
        <v>1963</v>
      </c>
      <c r="X468" s="26" t="s">
        <v>1964</v>
      </c>
      <c r="Y468" s="25"/>
      <c r="Z468" s="25"/>
      <c r="AA468" s="35"/>
      <c r="AB468" s="25"/>
      <c r="AC468" s="25" t="str">
        <f>TRIM(StudentScore[[#This Row],[Student Email]])</f>
        <v>perakorn.nim@student.mahidol.ac.th</v>
      </c>
    </row>
    <row r="469" spans="1:29" ht="27">
      <c r="A469" s="15">
        <v>463</v>
      </c>
      <c r="B469" s="33">
        <f t="shared" si="26"/>
        <v>63</v>
      </c>
      <c r="C469" s="27">
        <f t="shared" si="27"/>
        <v>2023</v>
      </c>
      <c r="D469" s="54"/>
      <c r="E469" s="19">
        <v>6388128</v>
      </c>
      <c r="F469" s="20" t="s">
        <v>38</v>
      </c>
      <c r="G469" s="20" t="s">
        <v>744</v>
      </c>
      <c r="H469" s="32" t="s">
        <v>1965</v>
      </c>
      <c r="I469" s="25" t="s">
        <v>64</v>
      </c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 t="s">
        <v>1966</v>
      </c>
      <c r="X469" s="26" t="s">
        <v>1967</v>
      </c>
      <c r="Y469" s="25"/>
      <c r="Z469" s="25"/>
      <c r="AA469" s="35"/>
      <c r="AB469" s="25"/>
      <c r="AC469" s="25" t="str">
        <f>TRIM(StudentScore[[#This Row],[Student Email]])</f>
        <v>thanakorn.che@student.mahidol.ac.th</v>
      </c>
    </row>
    <row r="470" spans="1:29" ht="27">
      <c r="A470" s="15">
        <v>464</v>
      </c>
      <c r="B470" s="33">
        <f t="shared" si="26"/>
        <v>63</v>
      </c>
      <c r="C470" s="27">
        <f t="shared" si="27"/>
        <v>2023</v>
      </c>
      <c r="D470" s="54"/>
      <c r="E470" s="19">
        <v>6388129</v>
      </c>
      <c r="F470" s="20" t="s">
        <v>38</v>
      </c>
      <c r="G470" s="20" t="s">
        <v>1968</v>
      </c>
      <c r="H470" s="32" t="s">
        <v>1969</v>
      </c>
      <c r="I470" s="25" t="s">
        <v>64</v>
      </c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 t="s">
        <v>1970</v>
      </c>
      <c r="X470" s="26" t="s">
        <v>1971</v>
      </c>
      <c r="Y470" s="25"/>
      <c r="Z470" s="25"/>
      <c r="AA470" s="35"/>
      <c r="AB470" s="25"/>
      <c r="AC470" s="25" t="str">
        <f>TRIM(StudentScore[[#This Row],[Student Email]])</f>
        <v>supawit.phi@student.mahidol.ac.th</v>
      </c>
    </row>
    <row r="471" spans="1:29" ht="27">
      <c r="A471" s="15">
        <v>465</v>
      </c>
      <c r="B471" s="33">
        <f t="shared" si="26"/>
        <v>63</v>
      </c>
      <c r="C471" s="27">
        <f t="shared" si="27"/>
        <v>2023</v>
      </c>
      <c r="D471" s="54"/>
      <c r="E471" s="19">
        <v>6388130</v>
      </c>
      <c r="F471" s="20" t="s">
        <v>117</v>
      </c>
      <c r="G471" s="20" t="s">
        <v>1972</v>
      </c>
      <c r="H471" s="32" t="s">
        <v>1973</v>
      </c>
      <c r="I471" s="25" t="s">
        <v>244</v>
      </c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 t="s">
        <v>1974</v>
      </c>
      <c r="X471" s="26" t="s">
        <v>1975</v>
      </c>
      <c r="Y471" s="25"/>
      <c r="Z471" s="25"/>
      <c r="AA471" s="35"/>
      <c r="AB471" s="25"/>
      <c r="AC471" s="25" t="str">
        <f>TRIM(StudentScore[[#This Row],[Student Email]])</f>
        <v>thannaree.pua@student.mahidol.ac.th</v>
      </c>
    </row>
    <row r="472" spans="1:29" ht="27">
      <c r="A472" s="15">
        <v>466</v>
      </c>
      <c r="B472" s="33">
        <f t="shared" si="26"/>
        <v>63</v>
      </c>
      <c r="C472" s="27">
        <f t="shared" si="27"/>
        <v>2023</v>
      </c>
      <c r="D472" s="54"/>
      <c r="E472" s="19">
        <v>6388131</v>
      </c>
      <c r="F472" s="20" t="s">
        <v>38</v>
      </c>
      <c r="G472" s="20" t="s">
        <v>1976</v>
      </c>
      <c r="H472" s="32" t="s">
        <v>1977</v>
      </c>
      <c r="I472" s="25" t="s">
        <v>244</v>
      </c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 t="s">
        <v>1978</v>
      </c>
      <c r="X472" s="26" t="s">
        <v>1979</v>
      </c>
      <c r="Y472" s="25"/>
      <c r="Z472" s="25"/>
      <c r="AA472" s="35"/>
      <c r="AB472" s="25"/>
      <c r="AC472" s="25" t="str">
        <f>TRIM(StudentScore[[#This Row],[Student Email]])</f>
        <v>suphachot.rat@student.mahidol.ac.th</v>
      </c>
    </row>
    <row r="473" spans="1:29" ht="27">
      <c r="A473" s="15">
        <v>467</v>
      </c>
      <c r="B473" s="33">
        <f t="shared" si="26"/>
        <v>63</v>
      </c>
      <c r="C473" s="27">
        <f t="shared" si="27"/>
        <v>2023</v>
      </c>
      <c r="D473" s="54"/>
      <c r="E473" s="19">
        <v>6388132</v>
      </c>
      <c r="F473" s="20" t="s">
        <v>38</v>
      </c>
      <c r="G473" s="20" t="s">
        <v>1980</v>
      </c>
      <c r="H473" s="32" t="s">
        <v>1981</v>
      </c>
      <c r="I473" s="25" t="s">
        <v>64</v>
      </c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 t="s">
        <v>1982</v>
      </c>
      <c r="X473" s="26" t="s">
        <v>1983</v>
      </c>
      <c r="Y473" s="25"/>
      <c r="Z473" s="25"/>
      <c r="AA473" s="35"/>
      <c r="AB473" s="25"/>
      <c r="AC473" s="25" t="str">
        <f>TRIM(StudentScore[[#This Row],[Student Email]])</f>
        <v>pawaris.tec@student.mahidol.ac.th</v>
      </c>
    </row>
    <row r="474" spans="1:29" ht="27">
      <c r="A474" s="15">
        <v>468</v>
      </c>
      <c r="B474" s="33">
        <f t="shared" si="26"/>
        <v>63</v>
      </c>
      <c r="C474" s="27">
        <f t="shared" si="27"/>
        <v>2023</v>
      </c>
      <c r="D474" s="54"/>
      <c r="E474" s="19">
        <v>6388133</v>
      </c>
      <c r="F474" s="20" t="s">
        <v>117</v>
      </c>
      <c r="G474" s="20" t="s">
        <v>1984</v>
      </c>
      <c r="H474" s="32" t="s">
        <v>1985</v>
      </c>
      <c r="I474" s="25" t="s">
        <v>214</v>
      </c>
      <c r="J474" s="25">
        <v>95</v>
      </c>
      <c r="K474" s="25"/>
      <c r="L474" s="25"/>
      <c r="M474" s="25"/>
      <c r="N474" s="25"/>
      <c r="O474" s="25">
        <v>95</v>
      </c>
      <c r="P474" s="25">
        <v>85</v>
      </c>
      <c r="Q474" s="25">
        <v>105</v>
      </c>
      <c r="R474" s="25">
        <v>65</v>
      </c>
      <c r="S474" s="26">
        <v>45040</v>
      </c>
      <c r="T474" s="35">
        <v>45043</v>
      </c>
      <c r="U474" s="25"/>
      <c r="V474" s="25"/>
      <c r="W474" s="25" t="s">
        <v>1986</v>
      </c>
      <c r="X474" s="26" t="s">
        <v>1987</v>
      </c>
      <c r="Y474" s="42">
        <v>45043.435902777775</v>
      </c>
      <c r="Z474" s="25" t="s">
        <v>1988</v>
      </c>
      <c r="AA474" s="35"/>
      <c r="AB474" s="25"/>
      <c r="AC474" s="25" t="str">
        <f>TRIM(StudentScore[[#This Row],[Student Email]])</f>
        <v>pitchaya.tee@student.mahidol.ac.th</v>
      </c>
    </row>
    <row r="475" spans="1:29" ht="27">
      <c r="A475" s="15">
        <v>469</v>
      </c>
      <c r="B475" s="33">
        <f t="shared" si="26"/>
        <v>63</v>
      </c>
      <c r="C475" s="27">
        <f t="shared" si="27"/>
        <v>2023</v>
      </c>
      <c r="D475" s="54"/>
      <c r="E475" s="19">
        <v>6388134</v>
      </c>
      <c r="F475" s="20" t="s">
        <v>38</v>
      </c>
      <c r="G475" s="20" t="s">
        <v>1989</v>
      </c>
      <c r="H475" s="32" t="s">
        <v>1990</v>
      </c>
      <c r="I475" s="25" t="s">
        <v>124</v>
      </c>
      <c r="J475" s="25">
        <v>6</v>
      </c>
      <c r="K475" s="25">
        <v>6.5</v>
      </c>
      <c r="L475" s="25">
        <v>5.5</v>
      </c>
      <c r="M475" s="25">
        <v>5.5</v>
      </c>
      <c r="N475" s="25">
        <v>6.5</v>
      </c>
      <c r="O475" s="25"/>
      <c r="P475" s="25"/>
      <c r="Q475" s="25"/>
      <c r="R475" s="25"/>
      <c r="S475" s="35">
        <v>43776</v>
      </c>
      <c r="T475" s="51">
        <v>44044</v>
      </c>
      <c r="U475" s="25"/>
      <c r="V475" s="25"/>
      <c r="W475" s="25" t="s">
        <v>1991</v>
      </c>
      <c r="X475" s="26" t="s">
        <v>1992</v>
      </c>
      <c r="Y475" s="25"/>
      <c r="Z475" s="25"/>
      <c r="AA475" s="35"/>
      <c r="AB475" s="25"/>
      <c r="AC475" s="25" t="str">
        <f>TRIM(StudentScore[[#This Row],[Student Email]])</f>
        <v>sutthiphon.tha@student.mahidol.ac.th</v>
      </c>
    </row>
    <row r="476" spans="1:29" ht="27">
      <c r="A476" s="15">
        <v>470</v>
      </c>
      <c r="B476" s="33">
        <f t="shared" si="26"/>
        <v>63</v>
      </c>
      <c r="C476" s="27">
        <f t="shared" si="27"/>
        <v>2023</v>
      </c>
      <c r="D476" s="54"/>
      <c r="E476" s="19">
        <v>6388136</v>
      </c>
      <c r="F476" s="20" t="s">
        <v>38</v>
      </c>
      <c r="G476" s="20" t="s">
        <v>1993</v>
      </c>
      <c r="H476" s="32" t="s">
        <v>709</v>
      </c>
      <c r="I476" s="25" t="s">
        <v>244</v>
      </c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 t="s">
        <v>1994</v>
      </c>
      <c r="X476" s="26" t="s">
        <v>1995</v>
      </c>
      <c r="Y476" s="25"/>
      <c r="Z476" s="25"/>
      <c r="AA476" s="35"/>
      <c r="AB476" s="25"/>
      <c r="AC476" s="25" t="str">
        <f>TRIM(StudentScore[[#This Row],[Student Email]])</f>
        <v>thanabodee.kae@student.mahidol.ac.th</v>
      </c>
    </row>
    <row r="477" spans="1:29" ht="27">
      <c r="A477" s="15">
        <v>471</v>
      </c>
      <c r="B477" s="33">
        <f t="shared" si="26"/>
        <v>63</v>
      </c>
      <c r="C477" s="27">
        <f t="shared" si="27"/>
        <v>2023</v>
      </c>
      <c r="D477" s="54"/>
      <c r="E477" s="19">
        <v>6388137</v>
      </c>
      <c r="F477" s="20" t="s">
        <v>38</v>
      </c>
      <c r="G477" s="20" t="s">
        <v>1996</v>
      </c>
      <c r="H477" s="32" t="s">
        <v>1997</v>
      </c>
      <c r="I477" s="25" t="s">
        <v>53</v>
      </c>
      <c r="J477" s="25">
        <v>88</v>
      </c>
      <c r="K477" s="25"/>
      <c r="L477" s="25"/>
      <c r="M477" s="25"/>
      <c r="N477" s="25"/>
      <c r="O477" s="25"/>
      <c r="P477" s="25"/>
      <c r="Q477" s="25"/>
      <c r="R477" s="25"/>
      <c r="S477" s="35">
        <v>44603</v>
      </c>
      <c r="T477" s="35">
        <v>44945</v>
      </c>
      <c r="U477" s="25"/>
      <c r="V477" s="25"/>
      <c r="W477" s="25" t="s">
        <v>1998</v>
      </c>
      <c r="X477" s="26" t="s">
        <v>1999</v>
      </c>
      <c r="Y477" s="25"/>
      <c r="Z477" s="25"/>
      <c r="AA477" s="35"/>
      <c r="AB477" s="25"/>
      <c r="AC477" s="25" t="str">
        <f>TRIM(StudentScore[[#This Row],[Student Email]])</f>
        <v>phurich.kon@student.mahidol.ac.th</v>
      </c>
    </row>
    <row r="478" spans="1:29" ht="27">
      <c r="A478" s="15">
        <v>472</v>
      </c>
      <c r="B478" s="33">
        <f t="shared" si="26"/>
        <v>63</v>
      </c>
      <c r="C478" s="27">
        <f t="shared" si="27"/>
        <v>2023</v>
      </c>
      <c r="D478" s="54"/>
      <c r="E478" s="19">
        <v>6388139</v>
      </c>
      <c r="F478" s="20" t="s">
        <v>38</v>
      </c>
      <c r="G478" s="20" t="s">
        <v>2000</v>
      </c>
      <c r="H478" s="32" t="s">
        <v>2001</v>
      </c>
      <c r="I478" s="25" t="s">
        <v>102</v>
      </c>
      <c r="J478" s="25">
        <v>85</v>
      </c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 t="s">
        <v>2002</v>
      </c>
      <c r="X478" s="26" t="s">
        <v>2003</v>
      </c>
      <c r="Y478" s="25"/>
      <c r="Z478" s="25"/>
      <c r="AA478" s="35"/>
      <c r="AB478" s="25"/>
      <c r="AC478" s="25" t="str">
        <f>TRIM(StudentScore[[#This Row],[Student Email]])</f>
        <v>raweebhas.pai@student.mahidol.ac.th</v>
      </c>
    </row>
    <row r="479" spans="1:29" ht="27">
      <c r="A479" s="15">
        <v>473</v>
      </c>
      <c r="B479" s="33">
        <f t="shared" si="26"/>
        <v>63</v>
      </c>
      <c r="C479" s="27">
        <f t="shared" si="27"/>
        <v>2023</v>
      </c>
      <c r="D479" s="54"/>
      <c r="E479" s="19">
        <v>6388140</v>
      </c>
      <c r="F479" s="20" t="s">
        <v>38</v>
      </c>
      <c r="G479" s="20" t="s">
        <v>2004</v>
      </c>
      <c r="H479" s="32" t="s">
        <v>733</v>
      </c>
      <c r="I479" s="25" t="s">
        <v>244</v>
      </c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 t="s">
        <v>2005</v>
      </c>
      <c r="X479" s="26" t="s">
        <v>2006</v>
      </c>
      <c r="Y479" s="25"/>
      <c r="Z479" s="25"/>
      <c r="AA479" s="35"/>
      <c r="AB479" s="25"/>
      <c r="AC479" s="25" t="str">
        <f>TRIM(StudentScore[[#This Row],[Student Email]])</f>
        <v>pongsapat.pit@student.mahidol.ac.th</v>
      </c>
    </row>
    <row r="480" spans="1:29" ht="27">
      <c r="A480" s="15">
        <v>474</v>
      </c>
      <c r="B480" s="33">
        <f t="shared" si="26"/>
        <v>63</v>
      </c>
      <c r="C480" s="27">
        <f t="shared" si="27"/>
        <v>2023</v>
      </c>
      <c r="D480" s="54"/>
      <c r="E480" s="19">
        <v>6388142</v>
      </c>
      <c r="F480" s="20" t="s">
        <v>38</v>
      </c>
      <c r="G480" s="20" t="s">
        <v>2007</v>
      </c>
      <c r="H480" s="32" t="s">
        <v>2008</v>
      </c>
      <c r="I480" s="25" t="s">
        <v>64</v>
      </c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 t="s">
        <v>2009</v>
      </c>
      <c r="X480" s="26" t="s">
        <v>2010</v>
      </c>
      <c r="Y480" s="25"/>
      <c r="Z480" s="25"/>
      <c r="AA480" s="35"/>
      <c r="AB480" s="25"/>
      <c r="AC480" s="25" t="str">
        <f>TRIM(StudentScore[[#This Row],[Student Email]])</f>
        <v>tawanoak.rue@student.mahidol.ac.th</v>
      </c>
    </row>
    <row r="481" spans="1:29" ht="27">
      <c r="A481" s="15">
        <v>475</v>
      </c>
      <c r="B481" s="33">
        <f t="shared" si="26"/>
        <v>63</v>
      </c>
      <c r="C481" s="27">
        <f t="shared" si="27"/>
        <v>2023</v>
      </c>
      <c r="D481" s="54"/>
      <c r="E481" s="19">
        <v>6388143</v>
      </c>
      <c r="F481" s="20" t="s">
        <v>38</v>
      </c>
      <c r="G481" s="20" t="s">
        <v>2011</v>
      </c>
      <c r="H481" s="32" t="s">
        <v>2012</v>
      </c>
      <c r="I481" s="25" t="s">
        <v>102</v>
      </c>
      <c r="J481" s="25">
        <v>87</v>
      </c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 t="s">
        <v>2013</v>
      </c>
      <c r="X481" s="26" t="s">
        <v>2014</v>
      </c>
      <c r="Y481" s="25"/>
      <c r="Z481" s="25"/>
      <c r="AA481" s="35"/>
      <c r="AB481" s="25"/>
      <c r="AC481" s="25" t="str">
        <f>TRIM(StudentScore[[#This Row],[Student Email]])</f>
        <v>krisanakorn.rug@student.mahidol.ac.th</v>
      </c>
    </row>
    <row r="482" spans="1:29" ht="27">
      <c r="A482" s="15">
        <v>476</v>
      </c>
      <c r="B482" s="33">
        <f t="shared" si="26"/>
        <v>63</v>
      </c>
      <c r="C482" s="27">
        <f t="shared" si="27"/>
        <v>2023</v>
      </c>
      <c r="D482" s="54"/>
      <c r="E482" s="19">
        <v>6388144</v>
      </c>
      <c r="F482" s="20" t="s">
        <v>38</v>
      </c>
      <c r="G482" s="20" t="s">
        <v>2015</v>
      </c>
      <c r="H482" s="32" t="s">
        <v>2012</v>
      </c>
      <c r="I482" s="25" t="s">
        <v>102</v>
      </c>
      <c r="J482" s="25">
        <v>85</v>
      </c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 t="s">
        <v>2016</v>
      </c>
      <c r="X482" s="26" t="s">
        <v>2017</v>
      </c>
      <c r="Y482" s="25"/>
      <c r="Z482" s="25"/>
      <c r="AA482" s="35"/>
      <c r="AB482" s="25"/>
      <c r="AC482" s="25" t="str">
        <f>TRIM(StudentScore[[#This Row],[Student Email]])</f>
        <v>krissnaphol.rug@student.mahidol.ac.th</v>
      </c>
    </row>
    <row r="483" spans="1:29" ht="27">
      <c r="A483" s="15">
        <v>477</v>
      </c>
      <c r="B483" s="33">
        <f t="shared" si="26"/>
        <v>63</v>
      </c>
      <c r="C483" s="27">
        <f t="shared" si="27"/>
        <v>2023</v>
      </c>
      <c r="D483" s="54"/>
      <c r="E483" s="19">
        <v>6388145</v>
      </c>
      <c r="F483" s="20" t="s">
        <v>38</v>
      </c>
      <c r="G483" s="20" t="s">
        <v>2018</v>
      </c>
      <c r="H483" s="32" t="s">
        <v>2019</v>
      </c>
      <c r="I483" s="25" t="s">
        <v>64</v>
      </c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 t="s">
        <v>2020</v>
      </c>
      <c r="X483" s="26" t="s">
        <v>2021</v>
      </c>
      <c r="Y483" s="25"/>
      <c r="Z483" s="25"/>
      <c r="AA483" s="35"/>
      <c r="AB483" s="25"/>
      <c r="AC483" s="25" t="str">
        <f>TRIM(StudentScore[[#This Row],[Student Email]])</f>
        <v>prapakorn.sae@student.mahidol.ac.th</v>
      </c>
    </row>
    <row r="484" spans="1:29" ht="27">
      <c r="A484" s="15">
        <v>478</v>
      </c>
      <c r="B484" s="33">
        <f t="shared" si="26"/>
        <v>63</v>
      </c>
      <c r="C484" s="27">
        <f t="shared" si="27"/>
        <v>2023</v>
      </c>
      <c r="D484" s="54"/>
      <c r="E484" s="19">
        <v>6388146</v>
      </c>
      <c r="F484" s="20" t="s">
        <v>117</v>
      </c>
      <c r="G484" s="20" t="s">
        <v>2022</v>
      </c>
      <c r="H484" s="32" t="s">
        <v>2023</v>
      </c>
      <c r="I484" s="25" t="s">
        <v>53</v>
      </c>
      <c r="J484" s="25">
        <v>110</v>
      </c>
      <c r="K484" s="25">
        <v>59</v>
      </c>
      <c r="L484" s="25">
        <v>51</v>
      </c>
      <c r="M484" s="25"/>
      <c r="N484" s="25"/>
      <c r="O484" s="25"/>
      <c r="P484" s="25"/>
      <c r="Q484" s="25"/>
      <c r="R484" s="25"/>
      <c r="S484" s="26">
        <v>44643</v>
      </c>
      <c r="T484" s="51">
        <v>44805</v>
      </c>
      <c r="U484" s="25"/>
      <c r="V484" s="25"/>
      <c r="W484" s="25" t="s">
        <v>2024</v>
      </c>
      <c r="X484" s="26" t="s">
        <v>2025</v>
      </c>
      <c r="Y484" s="42">
        <v>44819.604386574072</v>
      </c>
      <c r="Z484" s="25" t="s">
        <v>2026</v>
      </c>
      <c r="AA484" s="35"/>
      <c r="AB484" s="25"/>
      <c r="AC484" s="25" t="str">
        <f>TRIM(StudentScore[[#This Row],[Student Email]])</f>
        <v>rattanan.sir@student.mahidol.ac.th</v>
      </c>
    </row>
    <row r="485" spans="1:29" ht="27">
      <c r="A485" s="15">
        <v>479</v>
      </c>
      <c r="B485" s="33">
        <f t="shared" si="26"/>
        <v>63</v>
      </c>
      <c r="C485" s="27">
        <f t="shared" si="27"/>
        <v>2023</v>
      </c>
      <c r="D485" s="54"/>
      <c r="E485" s="19">
        <v>6388147</v>
      </c>
      <c r="F485" s="20" t="s">
        <v>117</v>
      </c>
      <c r="G485" s="20" t="s">
        <v>2027</v>
      </c>
      <c r="H485" s="32" t="s">
        <v>2028</v>
      </c>
      <c r="I485" s="25" t="s">
        <v>244</v>
      </c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 t="s">
        <v>2029</v>
      </c>
      <c r="X485" s="26" t="s">
        <v>2030</v>
      </c>
      <c r="Y485" s="25"/>
      <c r="Z485" s="25"/>
      <c r="AA485" s="35"/>
      <c r="AB485" s="25"/>
      <c r="AC485" s="25" t="str">
        <f>TRIM(StudentScore[[#This Row],[Student Email]])</f>
        <v>nutchar.som@student.mahidol.ac.th</v>
      </c>
    </row>
    <row r="486" spans="1:29" ht="27">
      <c r="A486" s="15">
        <v>480</v>
      </c>
      <c r="B486" s="33">
        <f t="shared" si="26"/>
        <v>63</v>
      </c>
      <c r="C486" s="27">
        <f t="shared" si="27"/>
        <v>2023</v>
      </c>
      <c r="D486" s="54"/>
      <c r="E486" s="19">
        <v>6388148</v>
      </c>
      <c r="F486" s="20" t="s">
        <v>38</v>
      </c>
      <c r="G486" s="20" t="s">
        <v>2031</v>
      </c>
      <c r="H486" s="32" t="s">
        <v>2032</v>
      </c>
      <c r="I486" s="25" t="s">
        <v>124</v>
      </c>
      <c r="J486" s="25">
        <v>5.5</v>
      </c>
      <c r="K486" s="25">
        <v>5.5</v>
      </c>
      <c r="L486" s="25">
        <v>5.5</v>
      </c>
      <c r="M486" s="25">
        <v>5</v>
      </c>
      <c r="N486" s="25">
        <v>6</v>
      </c>
      <c r="O486" s="25"/>
      <c r="P486" s="25"/>
      <c r="Q486" s="25"/>
      <c r="R486" s="25"/>
      <c r="S486" s="35">
        <v>43841</v>
      </c>
      <c r="T486" s="51">
        <v>44105</v>
      </c>
      <c r="U486" s="25"/>
      <c r="V486" s="25"/>
      <c r="W486" s="25" t="s">
        <v>2033</v>
      </c>
      <c r="X486" s="26" t="s">
        <v>2034</v>
      </c>
      <c r="Y486" s="25"/>
      <c r="Z486" s="25"/>
      <c r="AA486" s="35"/>
      <c r="AB486" s="25"/>
      <c r="AC486" s="25" t="str">
        <f>TRIM(StudentScore[[#This Row],[Student Email]])</f>
        <v>pantawut.sua@student.mahidol.ac.th</v>
      </c>
    </row>
    <row r="487" spans="1:29" ht="27">
      <c r="A487" s="15">
        <v>481</v>
      </c>
      <c r="B487" s="33">
        <f t="shared" si="26"/>
        <v>63</v>
      </c>
      <c r="C487" s="27">
        <f t="shared" si="27"/>
        <v>2023</v>
      </c>
      <c r="D487" s="54"/>
      <c r="E487" s="19">
        <v>6388150</v>
      </c>
      <c r="F487" s="20" t="s">
        <v>38</v>
      </c>
      <c r="G487" s="20" t="s">
        <v>2035</v>
      </c>
      <c r="H487" s="32" t="s">
        <v>2036</v>
      </c>
      <c r="I487" s="25" t="s">
        <v>244</v>
      </c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 t="s">
        <v>2037</v>
      </c>
      <c r="X487" s="26" t="s">
        <v>2038</v>
      </c>
      <c r="Y487" s="25"/>
      <c r="Z487" s="25"/>
      <c r="AA487" s="35"/>
      <c r="AB487" s="25"/>
      <c r="AC487" s="25" t="str">
        <f>TRIM(StudentScore[[#This Row],[Student Email]])</f>
        <v>anuwat.mas@student.mahidol.ac.th</v>
      </c>
    </row>
    <row r="488" spans="1:29" ht="27">
      <c r="A488" s="15">
        <v>482</v>
      </c>
      <c r="B488" s="33">
        <f t="shared" si="26"/>
        <v>63</v>
      </c>
      <c r="C488" s="27">
        <f t="shared" si="27"/>
        <v>2023</v>
      </c>
      <c r="D488" s="54"/>
      <c r="E488" s="19">
        <v>6388151</v>
      </c>
      <c r="F488" s="20" t="s">
        <v>38</v>
      </c>
      <c r="G488" s="20" t="s">
        <v>2039</v>
      </c>
      <c r="H488" s="32" t="s">
        <v>2040</v>
      </c>
      <c r="I488" s="25" t="s">
        <v>48</v>
      </c>
      <c r="J488" s="25">
        <v>790</v>
      </c>
      <c r="K488" s="25">
        <v>460</v>
      </c>
      <c r="L488" s="25">
        <v>330</v>
      </c>
      <c r="M488" s="25"/>
      <c r="N488" s="25"/>
      <c r="O488" s="25"/>
      <c r="P488" s="25"/>
      <c r="Q488" s="25"/>
      <c r="R488" s="25"/>
      <c r="S488" s="26">
        <v>44965</v>
      </c>
      <c r="T488" s="35">
        <v>44978</v>
      </c>
      <c r="U488" s="25"/>
      <c r="V488" s="25" t="s">
        <v>2041</v>
      </c>
      <c r="W488" s="25" t="s">
        <v>2042</v>
      </c>
      <c r="X488" s="26" t="s">
        <v>2043</v>
      </c>
      <c r="Y488" s="42">
        <v>44978.449224537035</v>
      </c>
      <c r="Z488" s="25" t="s">
        <v>2044</v>
      </c>
      <c r="AA488" s="35"/>
      <c r="AB488" s="25"/>
      <c r="AC488" s="25" t="str">
        <f>TRIM(StudentScore[[#This Row],[Student Email]])</f>
        <v>punyawee.let@student.mahidol.ac.th</v>
      </c>
    </row>
    <row r="489" spans="1:29" ht="27">
      <c r="A489" s="15">
        <v>483</v>
      </c>
      <c r="B489" s="33">
        <f t="shared" si="26"/>
        <v>63</v>
      </c>
      <c r="C489" s="27">
        <f t="shared" si="27"/>
        <v>2023</v>
      </c>
      <c r="D489" s="54"/>
      <c r="E489" s="19">
        <v>6388152</v>
      </c>
      <c r="F489" s="20" t="s">
        <v>38</v>
      </c>
      <c r="G489" s="20" t="s">
        <v>2045</v>
      </c>
      <c r="H489" s="32" t="s">
        <v>2046</v>
      </c>
      <c r="I489" s="25" t="s">
        <v>64</v>
      </c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 t="s">
        <v>2047</v>
      </c>
      <c r="X489" s="26" t="s">
        <v>2048</v>
      </c>
      <c r="Y489" s="25"/>
      <c r="Z489" s="25"/>
      <c r="AA489" s="35"/>
      <c r="AB489" s="25"/>
      <c r="AC489" s="25" t="str">
        <f>TRIM(StudentScore[[#This Row],[Student Email]])</f>
        <v>tanutkorn.pra@student.mahidol.ac.th</v>
      </c>
    </row>
    <row r="490" spans="1:29" ht="27">
      <c r="A490" s="15">
        <v>484</v>
      </c>
      <c r="B490" s="33">
        <f t="shared" si="26"/>
        <v>63</v>
      </c>
      <c r="C490" s="27">
        <f t="shared" si="27"/>
        <v>2023</v>
      </c>
      <c r="D490" s="54"/>
      <c r="E490" s="19">
        <v>6388153</v>
      </c>
      <c r="F490" s="20" t="s">
        <v>38</v>
      </c>
      <c r="G490" s="20" t="s">
        <v>2049</v>
      </c>
      <c r="H490" s="32" t="s">
        <v>2050</v>
      </c>
      <c r="I490" s="25" t="s">
        <v>102</v>
      </c>
      <c r="J490" s="25">
        <v>89</v>
      </c>
      <c r="K490" s="25"/>
      <c r="L490" s="25"/>
      <c r="M490" s="25"/>
      <c r="N490" s="25"/>
      <c r="O490" s="25"/>
      <c r="P490" s="25"/>
      <c r="Q490" s="25"/>
      <c r="R490" s="25"/>
      <c r="S490" s="25"/>
      <c r="T490" s="58">
        <v>44531</v>
      </c>
      <c r="U490" s="25"/>
      <c r="V490" s="25"/>
      <c r="W490" s="25" t="s">
        <v>2051</v>
      </c>
      <c r="X490" s="26" t="s">
        <v>2052</v>
      </c>
      <c r="Y490" s="25"/>
      <c r="Z490" s="25"/>
      <c r="AA490" s="35"/>
      <c r="AB490" s="25"/>
      <c r="AC490" s="25" t="str">
        <f>TRIM(StudentScore[[#This Row],[Student Email]])</f>
        <v>navaplud.sai@student.mahidol.ac.th</v>
      </c>
    </row>
    <row r="491" spans="1:29" ht="27">
      <c r="A491" s="15">
        <v>485</v>
      </c>
      <c r="B491" s="33">
        <f t="shared" si="26"/>
        <v>63</v>
      </c>
      <c r="C491" s="27">
        <f t="shared" si="27"/>
        <v>2023</v>
      </c>
      <c r="D491" s="54"/>
      <c r="E491" s="19">
        <v>6388154</v>
      </c>
      <c r="F491" s="20" t="s">
        <v>38</v>
      </c>
      <c r="G491" s="20" t="s">
        <v>2053</v>
      </c>
      <c r="H491" s="32" t="s">
        <v>2054</v>
      </c>
      <c r="I491" s="25" t="s">
        <v>102</v>
      </c>
      <c r="J491" s="25">
        <v>88</v>
      </c>
      <c r="K491" s="25"/>
      <c r="L491" s="25"/>
      <c r="M491" s="25"/>
      <c r="N491" s="25"/>
      <c r="O491" s="25"/>
      <c r="P491" s="25"/>
      <c r="Q491" s="25"/>
      <c r="R491" s="25"/>
      <c r="S491" s="25"/>
      <c r="T491" s="51">
        <v>44531</v>
      </c>
      <c r="U491" s="25"/>
      <c r="V491" s="25"/>
      <c r="W491" s="25" t="s">
        <v>2055</v>
      </c>
      <c r="X491" s="26" t="s">
        <v>2056</v>
      </c>
      <c r="Y491" s="25"/>
      <c r="Z491" s="25"/>
      <c r="AA491" s="35"/>
      <c r="AB491" s="25"/>
      <c r="AC491" s="25" t="str">
        <f>TRIM(StudentScore[[#This Row],[Student Email]])</f>
        <v>kontawat.wis@student.mahidol.ac.th</v>
      </c>
    </row>
    <row r="492" spans="1:29" ht="27">
      <c r="A492" s="15">
        <v>486</v>
      </c>
      <c r="B492" s="33">
        <f t="shared" si="26"/>
        <v>63</v>
      </c>
      <c r="C492" s="27">
        <f t="shared" si="27"/>
        <v>2023</v>
      </c>
      <c r="D492" s="54"/>
      <c r="E492" s="19">
        <v>6388155</v>
      </c>
      <c r="F492" s="20" t="s">
        <v>38</v>
      </c>
      <c r="G492" s="20" t="s">
        <v>2057</v>
      </c>
      <c r="H492" s="32" t="s">
        <v>2058</v>
      </c>
      <c r="I492" s="25" t="s">
        <v>64</v>
      </c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 t="s">
        <v>2059</v>
      </c>
      <c r="X492" s="26" t="s">
        <v>2060</v>
      </c>
      <c r="Y492" s="25"/>
      <c r="Z492" s="25"/>
      <c r="AA492" s="35"/>
      <c r="AB492" s="25"/>
      <c r="AC492" s="25" t="str">
        <f>TRIM(StudentScore[[#This Row],[Student Email]])</f>
        <v>watsapol.sam@student.mahidol.ac.th</v>
      </c>
    </row>
    <row r="493" spans="1:29" ht="27">
      <c r="A493" s="15">
        <v>487</v>
      </c>
      <c r="B493" s="33">
        <f t="shared" si="26"/>
        <v>63</v>
      </c>
      <c r="C493" s="27">
        <f t="shared" si="27"/>
        <v>2023</v>
      </c>
      <c r="D493" s="54"/>
      <c r="E493" s="19">
        <v>6388156</v>
      </c>
      <c r="F493" s="20" t="s">
        <v>117</v>
      </c>
      <c r="G493" s="20" t="s">
        <v>2061</v>
      </c>
      <c r="H493" s="32" t="s">
        <v>2062</v>
      </c>
      <c r="I493" s="25" t="s">
        <v>64</v>
      </c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 t="s">
        <v>2063</v>
      </c>
      <c r="X493" s="26" t="s">
        <v>2064</v>
      </c>
      <c r="Y493" s="25"/>
      <c r="Z493" s="25"/>
      <c r="AA493" s="35"/>
      <c r="AB493" s="25"/>
      <c r="AC493" s="25" t="str">
        <f>TRIM(StudentScore[[#This Row],[Student Email]])</f>
        <v>thitirat.suk@student.mahidol.ac.th</v>
      </c>
    </row>
    <row r="494" spans="1:29" ht="27">
      <c r="A494" s="15">
        <v>488</v>
      </c>
      <c r="B494" s="33">
        <f t="shared" si="26"/>
        <v>63</v>
      </c>
      <c r="C494" s="27">
        <f t="shared" si="27"/>
        <v>2023</v>
      </c>
      <c r="D494" s="54"/>
      <c r="E494" s="19">
        <v>6388157</v>
      </c>
      <c r="F494" s="20" t="s">
        <v>38</v>
      </c>
      <c r="G494" s="20" t="s">
        <v>2065</v>
      </c>
      <c r="H494" s="32" t="s">
        <v>2066</v>
      </c>
      <c r="I494" s="25" t="s">
        <v>64</v>
      </c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 t="s">
        <v>2067</v>
      </c>
      <c r="X494" s="26" t="s">
        <v>2068</v>
      </c>
      <c r="Y494" s="25"/>
      <c r="Z494" s="25"/>
      <c r="AA494" s="35"/>
      <c r="AB494" s="25"/>
      <c r="AC494" s="25" t="str">
        <f>TRIM(StudentScore[[#This Row],[Student Email]])</f>
        <v>warakul.suw@student.mahidol.ac.th</v>
      </c>
    </row>
    <row r="495" spans="1:29" ht="27">
      <c r="A495" s="15">
        <v>489</v>
      </c>
      <c r="B495" s="33">
        <f t="shared" si="26"/>
        <v>63</v>
      </c>
      <c r="C495" s="27">
        <f t="shared" si="27"/>
        <v>2023</v>
      </c>
      <c r="D495" s="54"/>
      <c r="E495" s="19">
        <v>6388158</v>
      </c>
      <c r="F495" s="20" t="s">
        <v>38</v>
      </c>
      <c r="G495" s="20" t="s">
        <v>2069</v>
      </c>
      <c r="H495" s="32" t="s">
        <v>2070</v>
      </c>
      <c r="I495" s="25" t="s">
        <v>64</v>
      </c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 t="s">
        <v>2071</v>
      </c>
      <c r="X495" s="26" t="s">
        <v>2072</v>
      </c>
      <c r="Y495" s="25"/>
      <c r="Z495" s="25"/>
      <c r="AA495" s="35"/>
      <c r="AB495" s="25"/>
      <c r="AC495" s="25" t="str">
        <f>TRIM(StudentScore[[#This Row],[Student Email]])</f>
        <v>padon.tho@student.mahidol.ac.th</v>
      </c>
    </row>
    <row r="496" spans="1:29" ht="27">
      <c r="A496" s="15">
        <v>490</v>
      </c>
      <c r="B496" s="33">
        <f t="shared" si="26"/>
        <v>63</v>
      </c>
      <c r="C496" s="27">
        <f t="shared" si="27"/>
        <v>2023</v>
      </c>
      <c r="D496" s="54"/>
      <c r="E496" s="19">
        <v>6388159</v>
      </c>
      <c r="F496" s="20" t="s">
        <v>38</v>
      </c>
      <c r="G496" s="20" t="s">
        <v>2073</v>
      </c>
      <c r="H496" s="32" t="s">
        <v>2074</v>
      </c>
      <c r="I496" s="25" t="s">
        <v>48</v>
      </c>
      <c r="J496" s="25">
        <v>620</v>
      </c>
      <c r="K496" s="25">
        <v>430</v>
      </c>
      <c r="L496" s="25">
        <v>190</v>
      </c>
      <c r="M496" s="25"/>
      <c r="N496" s="25"/>
      <c r="O496" s="25"/>
      <c r="P496" s="25"/>
      <c r="Q496" s="25"/>
      <c r="R496" s="25"/>
      <c r="S496" s="35">
        <v>44153</v>
      </c>
      <c r="T496" s="51">
        <v>44166</v>
      </c>
      <c r="U496" s="25"/>
      <c r="V496" s="25"/>
      <c r="W496" s="25" t="s">
        <v>2075</v>
      </c>
      <c r="X496" s="26" t="s">
        <v>2076</v>
      </c>
      <c r="Y496" s="25"/>
      <c r="Z496" s="25"/>
      <c r="AA496" s="35"/>
      <c r="AB496" s="25"/>
      <c r="AC496" s="25" t="str">
        <f>TRIM(StudentScore[[#This Row],[Student Email]])</f>
        <v>settanun.vir@student.mahidol.ac.th</v>
      </c>
    </row>
    <row r="497" spans="1:29" ht="27">
      <c r="A497" s="15">
        <v>491</v>
      </c>
      <c r="B497" s="33">
        <f t="shared" ref="B497:B560" si="28">VALUE(LEFT(E497,2))</f>
        <v>63</v>
      </c>
      <c r="C497" s="27">
        <f t="shared" ref="C497:C560" si="29">VALUE("25"&amp;B497)-543+3</f>
        <v>2023</v>
      </c>
      <c r="D497" s="54"/>
      <c r="E497" s="19">
        <v>6388162</v>
      </c>
      <c r="F497" s="20" t="s">
        <v>38</v>
      </c>
      <c r="G497" s="20" t="s">
        <v>2077</v>
      </c>
      <c r="H497" s="32" t="s">
        <v>2078</v>
      </c>
      <c r="I497" s="25" t="s">
        <v>53</v>
      </c>
      <c r="J497" s="25">
        <v>107</v>
      </c>
      <c r="K497" s="25">
        <v>59</v>
      </c>
      <c r="L497" s="25">
        <v>48</v>
      </c>
      <c r="M497" s="25"/>
      <c r="N497" s="25"/>
      <c r="O497" s="25"/>
      <c r="P497" s="25"/>
      <c r="Q497" s="25"/>
      <c r="R497" s="25"/>
      <c r="S497" s="26">
        <v>44643</v>
      </c>
      <c r="T497" s="35">
        <v>44714</v>
      </c>
      <c r="U497" s="25"/>
      <c r="V497" s="25"/>
      <c r="W497" s="25" t="s">
        <v>2079</v>
      </c>
      <c r="X497" s="26" t="s">
        <v>2080</v>
      </c>
      <c r="Y497" s="42">
        <v>44714.541921296295</v>
      </c>
      <c r="Z497" s="25" t="s">
        <v>2081</v>
      </c>
      <c r="AA497" s="35"/>
      <c r="AB497" s="25"/>
      <c r="AC497" s="25" t="str">
        <f>TRIM(StudentScore[[#This Row],[Student Email]])</f>
        <v>thammanoon.san@student.mahidol.ac.th</v>
      </c>
    </row>
    <row r="498" spans="1:29" ht="27">
      <c r="A498" s="15">
        <v>492</v>
      </c>
      <c r="B498" s="33">
        <f t="shared" si="28"/>
        <v>63</v>
      </c>
      <c r="C498" s="27">
        <f t="shared" si="29"/>
        <v>2023</v>
      </c>
      <c r="D498" s="54"/>
      <c r="E498" s="19">
        <v>6388163</v>
      </c>
      <c r="F498" s="20" t="s">
        <v>117</v>
      </c>
      <c r="G498" s="20" t="s">
        <v>2082</v>
      </c>
      <c r="H498" s="32" t="s">
        <v>2083</v>
      </c>
      <c r="I498" s="25" t="s">
        <v>53</v>
      </c>
      <c r="J498" s="25">
        <v>114</v>
      </c>
      <c r="K498" s="25">
        <v>59</v>
      </c>
      <c r="L498" s="25">
        <v>55</v>
      </c>
      <c r="M498" s="25"/>
      <c r="N498" s="25"/>
      <c r="O498" s="25"/>
      <c r="P498" s="25"/>
      <c r="Q498" s="25"/>
      <c r="R498" s="25"/>
      <c r="S498" s="26">
        <v>44912</v>
      </c>
      <c r="T498" s="35">
        <v>44945</v>
      </c>
      <c r="U498" s="25"/>
      <c r="V498" s="25"/>
      <c r="W498" s="25" t="s">
        <v>2084</v>
      </c>
      <c r="X498" s="26" t="s">
        <v>2085</v>
      </c>
      <c r="Y498" s="42">
        <v>44945.5621875</v>
      </c>
      <c r="Z498" s="25" t="s">
        <v>2086</v>
      </c>
      <c r="AA498" s="35"/>
      <c r="AB498" s="25"/>
      <c r="AC498" s="25" t="str">
        <f>TRIM(StudentScore[[#This Row],[Student Email]])</f>
        <v>busarin.jen@student.mahidol.ac.th</v>
      </c>
    </row>
    <row r="499" spans="1:29" ht="27">
      <c r="A499" s="15">
        <v>493</v>
      </c>
      <c r="B499" s="33">
        <f t="shared" si="28"/>
        <v>63</v>
      </c>
      <c r="C499" s="27">
        <f t="shared" si="29"/>
        <v>2023</v>
      </c>
      <c r="D499" s="54"/>
      <c r="E499" s="19">
        <v>6388164</v>
      </c>
      <c r="F499" s="20" t="s">
        <v>117</v>
      </c>
      <c r="G499" s="20" t="s">
        <v>2087</v>
      </c>
      <c r="H499" s="32" t="s">
        <v>2088</v>
      </c>
      <c r="I499" s="25" t="s">
        <v>124</v>
      </c>
      <c r="J499" s="25">
        <v>5.5</v>
      </c>
      <c r="K499" s="25">
        <v>6.5</v>
      </c>
      <c r="L499" s="25">
        <v>5.5</v>
      </c>
      <c r="M499" s="25">
        <v>5.5</v>
      </c>
      <c r="N499" s="25">
        <v>5</v>
      </c>
      <c r="O499" s="25"/>
      <c r="P499" s="25"/>
      <c r="Q499" s="25"/>
      <c r="R499" s="25"/>
      <c r="S499" s="35">
        <v>43785</v>
      </c>
      <c r="T499" s="51">
        <v>44287</v>
      </c>
      <c r="U499" s="25"/>
      <c r="V499" s="25"/>
      <c r="W499" s="25"/>
      <c r="X499" s="26" t="s">
        <v>2089</v>
      </c>
      <c r="Y499" s="25"/>
      <c r="Z499" s="25"/>
      <c r="AA499" s="35"/>
      <c r="AB499" s="25"/>
      <c r="AC499" s="25" t="str">
        <f>TRIM(StudentScore[[#This Row],[Student Email]])</f>
        <v>wenlin.an@student.mahidol.ac.th</v>
      </c>
    </row>
    <row r="500" spans="1:29" ht="27">
      <c r="A500" s="15">
        <v>494</v>
      </c>
      <c r="B500" s="33">
        <f t="shared" si="28"/>
        <v>63</v>
      </c>
      <c r="C500" s="27">
        <f t="shared" si="29"/>
        <v>2023</v>
      </c>
      <c r="D500" s="54"/>
      <c r="E500" s="19">
        <v>6388165</v>
      </c>
      <c r="F500" s="20" t="s">
        <v>38</v>
      </c>
      <c r="G500" s="20" t="s">
        <v>2090</v>
      </c>
      <c r="H500" s="32" t="s">
        <v>2091</v>
      </c>
      <c r="I500" s="25" t="s">
        <v>124</v>
      </c>
      <c r="J500" s="25">
        <v>5.5</v>
      </c>
      <c r="K500" s="25">
        <v>5</v>
      </c>
      <c r="L500" s="25">
        <v>6</v>
      </c>
      <c r="M500" s="25">
        <v>5.5</v>
      </c>
      <c r="N500" s="25">
        <v>6</v>
      </c>
      <c r="O500" s="25"/>
      <c r="P500" s="25"/>
      <c r="Q500" s="25"/>
      <c r="R500" s="25"/>
      <c r="S500" s="35">
        <v>43897</v>
      </c>
      <c r="T500" s="51">
        <v>44197</v>
      </c>
      <c r="U500" s="25"/>
      <c r="V500" s="25"/>
      <c r="W500" s="25"/>
      <c r="X500" s="26" t="s">
        <v>2092</v>
      </c>
      <c r="Y500" s="25"/>
      <c r="Z500" s="25"/>
      <c r="AA500" s="35"/>
      <c r="AB500" s="25"/>
      <c r="AC500" s="25" t="str">
        <f>TRIM(StudentScore[[#This Row],[Student Email]])</f>
        <v>jiaxian.che@student.mahidol.ac.th</v>
      </c>
    </row>
    <row r="501" spans="1:29" ht="27">
      <c r="A501" s="15">
        <v>495</v>
      </c>
      <c r="B501" s="33">
        <f t="shared" si="28"/>
        <v>63</v>
      </c>
      <c r="C501" s="27">
        <f t="shared" si="29"/>
        <v>2023</v>
      </c>
      <c r="D501" s="54"/>
      <c r="E501" s="19">
        <v>6388166</v>
      </c>
      <c r="F501" s="20" t="s">
        <v>38</v>
      </c>
      <c r="G501" s="20" t="s">
        <v>2093</v>
      </c>
      <c r="H501" s="32" t="s">
        <v>2094</v>
      </c>
      <c r="I501" s="25" t="s">
        <v>124</v>
      </c>
      <c r="J501" s="25">
        <v>5.5</v>
      </c>
      <c r="K501" s="25">
        <v>5.5</v>
      </c>
      <c r="L501" s="25">
        <v>5.5</v>
      </c>
      <c r="M501" s="25">
        <v>5.5</v>
      </c>
      <c r="N501" s="25">
        <v>5.5</v>
      </c>
      <c r="O501" s="25"/>
      <c r="P501" s="25"/>
      <c r="Q501" s="25"/>
      <c r="R501" s="25"/>
      <c r="S501" s="35">
        <v>43799</v>
      </c>
      <c r="T501" s="51">
        <v>44287</v>
      </c>
      <c r="U501" s="25"/>
      <c r="V501" s="25"/>
      <c r="W501" s="25"/>
      <c r="X501" s="26" t="s">
        <v>2095</v>
      </c>
      <c r="Y501" s="25"/>
      <c r="Z501" s="25"/>
      <c r="AA501" s="35"/>
      <c r="AB501" s="25"/>
      <c r="AC501" s="25" t="str">
        <f>TRIM(StudentScore[[#This Row],[Student Email]])</f>
        <v>lingrui.don@student.mahidol.ac.th</v>
      </c>
    </row>
    <row r="502" spans="1:29" ht="27">
      <c r="A502" s="15">
        <v>496</v>
      </c>
      <c r="B502" s="33">
        <f t="shared" si="28"/>
        <v>63</v>
      </c>
      <c r="C502" s="27">
        <f t="shared" si="29"/>
        <v>2023</v>
      </c>
      <c r="D502" s="54"/>
      <c r="E502" s="19">
        <v>6388167</v>
      </c>
      <c r="F502" s="20" t="s">
        <v>38</v>
      </c>
      <c r="G502" s="20" t="s">
        <v>2096</v>
      </c>
      <c r="H502" s="32" t="s">
        <v>2097</v>
      </c>
      <c r="I502" s="25" t="s">
        <v>124</v>
      </c>
      <c r="J502" s="25">
        <v>5.5</v>
      </c>
      <c r="K502" s="25">
        <v>5</v>
      </c>
      <c r="L502" s="25">
        <v>4.5</v>
      </c>
      <c r="M502" s="25">
        <v>5.5</v>
      </c>
      <c r="N502" s="25">
        <v>6</v>
      </c>
      <c r="O502" s="25"/>
      <c r="P502" s="25"/>
      <c r="Q502" s="25"/>
      <c r="R502" s="25"/>
      <c r="S502" s="35">
        <v>43897</v>
      </c>
      <c r="T502" s="51">
        <v>44287</v>
      </c>
      <c r="U502" s="25"/>
      <c r="V502" s="25"/>
      <c r="W502" s="25"/>
      <c r="X502" s="26" t="s">
        <v>2098</v>
      </c>
      <c r="Y502" s="25"/>
      <c r="Z502" s="25"/>
      <c r="AA502" s="35"/>
      <c r="AB502" s="25"/>
      <c r="AC502" s="25" t="str">
        <f>TRIM(StudentScore[[#This Row],[Student Email]])</f>
        <v>lingwei.kon@student.mahidol.ac.th</v>
      </c>
    </row>
    <row r="503" spans="1:29" ht="27">
      <c r="A503" s="15">
        <v>497</v>
      </c>
      <c r="B503" s="33">
        <f t="shared" si="28"/>
        <v>63</v>
      </c>
      <c r="C503" s="27">
        <f t="shared" si="29"/>
        <v>2023</v>
      </c>
      <c r="D503" s="54"/>
      <c r="E503" s="19">
        <v>6388169</v>
      </c>
      <c r="F503" s="20" t="s">
        <v>38</v>
      </c>
      <c r="G503" s="20" t="s">
        <v>2099</v>
      </c>
      <c r="H503" s="32" t="s">
        <v>1394</v>
      </c>
      <c r="I503" s="25" t="s">
        <v>124</v>
      </c>
      <c r="J503" s="25">
        <v>5.5</v>
      </c>
      <c r="K503" s="25">
        <v>5</v>
      </c>
      <c r="L503" s="25">
        <v>5.5</v>
      </c>
      <c r="M503" s="25">
        <v>5</v>
      </c>
      <c r="N503" s="25">
        <v>6.5</v>
      </c>
      <c r="O503" s="25"/>
      <c r="P503" s="25"/>
      <c r="Q503" s="25"/>
      <c r="R503" s="25"/>
      <c r="S503" s="35">
        <v>43897</v>
      </c>
      <c r="T503" s="51">
        <v>44197</v>
      </c>
      <c r="U503" s="25"/>
      <c r="V503" s="25"/>
      <c r="W503" s="25"/>
      <c r="X503" s="26" t="s">
        <v>2100</v>
      </c>
      <c r="Y503" s="25"/>
      <c r="Z503" s="25"/>
      <c r="AA503" s="35"/>
      <c r="AB503" s="25"/>
      <c r="AC503" s="25" t="str">
        <f>TRIM(StudentScore[[#This Row],[Student Email]])</f>
        <v>huanrong.liu@student.mahidol.ac.th</v>
      </c>
    </row>
    <row r="504" spans="1:29" ht="27">
      <c r="A504" s="15">
        <v>498</v>
      </c>
      <c r="B504" s="33">
        <f t="shared" si="28"/>
        <v>63</v>
      </c>
      <c r="C504" s="27">
        <f t="shared" si="29"/>
        <v>2023</v>
      </c>
      <c r="D504" s="54"/>
      <c r="E504" s="19">
        <v>6388170</v>
      </c>
      <c r="F504" s="20" t="s">
        <v>38</v>
      </c>
      <c r="G504" s="20" t="s">
        <v>2101</v>
      </c>
      <c r="H504" s="32" t="s">
        <v>1401</v>
      </c>
      <c r="I504" s="25" t="s">
        <v>124</v>
      </c>
      <c r="J504" s="25">
        <v>6</v>
      </c>
      <c r="K504" s="25">
        <v>5</v>
      </c>
      <c r="L504" s="25">
        <v>6</v>
      </c>
      <c r="M504" s="25">
        <v>5.5</v>
      </c>
      <c r="N504" s="25">
        <v>6.5</v>
      </c>
      <c r="O504" s="25"/>
      <c r="P504" s="25"/>
      <c r="Q504" s="25"/>
      <c r="R504" s="25"/>
      <c r="S504" s="35">
        <v>43897</v>
      </c>
      <c r="T504" s="51">
        <v>44287</v>
      </c>
      <c r="U504" s="25"/>
      <c r="V504" s="25"/>
      <c r="W504" s="25"/>
      <c r="X504" s="26" t="s">
        <v>2102</v>
      </c>
      <c r="Y504" s="25"/>
      <c r="Z504" s="25"/>
      <c r="AA504" s="35"/>
      <c r="AB504" s="25"/>
      <c r="AC504" s="25" t="str">
        <f>TRIM(StudentScore[[#This Row],[Student Email]])</f>
        <v>yunduo.luo@student.mahidol.ac.th</v>
      </c>
    </row>
    <row r="505" spans="1:29" ht="27">
      <c r="A505" s="15">
        <v>499</v>
      </c>
      <c r="B505" s="33">
        <f t="shared" si="28"/>
        <v>63</v>
      </c>
      <c r="C505" s="27">
        <f t="shared" si="29"/>
        <v>2023</v>
      </c>
      <c r="D505" s="54"/>
      <c r="E505" s="19">
        <v>6388171</v>
      </c>
      <c r="F505" s="20" t="s">
        <v>117</v>
      </c>
      <c r="G505" s="20" t="s">
        <v>2103</v>
      </c>
      <c r="H505" s="32" t="s">
        <v>2104</v>
      </c>
      <c r="I505" s="25" t="s">
        <v>124</v>
      </c>
      <c r="J505" s="25">
        <v>5.5</v>
      </c>
      <c r="K505" s="25">
        <v>5</v>
      </c>
      <c r="L505" s="25">
        <v>5.5</v>
      </c>
      <c r="M505" s="25">
        <v>5.5</v>
      </c>
      <c r="N505" s="25">
        <v>6</v>
      </c>
      <c r="O505" s="25"/>
      <c r="P505" s="25"/>
      <c r="Q505" s="25"/>
      <c r="R505" s="25"/>
      <c r="S505" s="35">
        <v>43897</v>
      </c>
      <c r="T505" s="51">
        <v>44287</v>
      </c>
      <c r="U505" s="25"/>
      <c r="V505" s="25"/>
      <c r="W505" s="25"/>
      <c r="X505" s="26" t="s">
        <v>2105</v>
      </c>
      <c r="Y505" s="25"/>
      <c r="Z505" s="25"/>
      <c r="AA505" s="35"/>
      <c r="AB505" s="25"/>
      <c r="AC505" s="25" t="str">
        <f>TRIM(StudentScore[[#This Row],[Student Email]])</f>
        <v>qiyue.shi@student.mahidol.ac.th</v>
      </c>
    </row>
    <row r="506" spans="1:29" ht="27">
      <c r="A506" s="15">
        <v>500</v>
      </c>
      <c r="B506" s="33">
        <f t="shared" si="28"/>
        <v>63</v>
      </c>
      <c r="C506" s="27">
        <f t="shared" si="29"/>
        <v>2023</v>
      </c>
      <c r="D506" s="54"/>
      <c r="E506" s="19">
        <v>6388172</v>
      </c>
      <c r="F506" s="20" t="s">
        <v>38</v>
      </c>
      <c r="G506" s="20" t="s">
        <v>2106</v>
      </c>
      <c r="H506" s="32" t="s">
        <v>1409</v>
      </c>
      <c r="I506" s="25" t="s">
        <v>64</v>
      </c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6" t="s">
        <v>2107</v>
      </c>
      <c r="Y506" s="25"/>
      <c r="Z506" s="25"/>
      <c r="AA506" s="35"/>
      <c r="AB506" s="25"/>
      <c r="AC506" s="25" t="str">
        <f>TRIM(StudentScore[[#This Row],[Student Email]])</f>
        <v>chengxiao.wan@student.mahidol.ac.th</v>
      </c>
    </row>
    <row r="507" spans="1:29" ht="27">
      <c r="A507" s="15">
        <v>501</v>
      </c>
      <c r="B507" s="33">
        <f t="shared" si="28"/>
        <v>63</v>
      </c>
      <c r="C507" s="27">
        <f t="shared" si="29"/>
        <v>2023</v>
      </c>
      <c r="D507" s="54"/>
      <c r="E507" s="19">
        <v>6388173</v>
      </c>
      <c r="F507" s="20" t="s">
        <v>38</v>
      </c>
      <c r="G507" s="20" t="s">
        <v>2108</v>
      </c>
      <c r="H507" s="32" t="s">
        <v>1409</v>
      </c>
      <c r="I507" s="25" t="s">
        <v>124</v>
      </c>
      <c r="J507" s="25">
        <v>5.5</v>
      </c>
      <c r="K507" s="25">
        <v>5</v>
      </c>
      <c r="L507" s="25">
        <v>5</v>
      </c>
      <c r="M507" s="25">
        <v>6</v>
      </c>
      <c r="N507" s="25">
        <v>6</v>
      </c>
      <c r="O507" s="25"/>
      <c r="P507" s="25"/>
      <c r="Q507" s="25"/>
      <c r="R507" s="25"/>
      <c r="S507" s="35">
        <v>43799</v>
      </c>
      <c r="T507" s="51">
        <v>44287</v>
      </c>
      <c r="U507" s="25"/>
      <c r="V507" s="25"/>
      <c r="W507" s="25"/>
      <c r="X507" s="26" t="s">
        <v>2109</v>
      </c>
      <c r="Y507" s="25"/>
      <c r="Z507" s="25"/>
      <c r="AA507" s="35"/>
      <c r="AB507" s="25"/>
      <c r="AC507" s="25" t="str">
        <f>TRIM(StudentScore[[#This Row],[Student Email]])</f>
        <v>hejun.wan@student.mahidol.ac.th</v>
      </c>
    </row>
    <row r="508" spans="1:29" ht="27">
      <c r="A508" s="15">
        <v>502</v>
      </c>
      <c r="B508" s="33">
        <f t="shared" si="28"/>
        <v>63</v>
      </c>
      <c r="C508" s="27">
        <f t="shared" si="29"/>
        <v>2023</v>
      </c>
      <c r="D508" s="54"/>
      <c r="E508" s="19">
        <v>6388175</v>
      </c>
      <c r="F508" s="20" t="s">
        <v>38</v>
      </c>
      <c r="G508" s="20" t="s">
        <v>2110</v>
      </c>
      <c r="H508" s="32" t="s">
        <v>1409</v>
      </c>
      <c r="I508" s="25" t="s">
        <v>124</v>
      </c>
      <c r="J508" s="25">
        <v>5.5</v>
      </c>
      <c r="K508" s="25">
        <v>5</v>
      </c>
      <c r="L508" s="25">
        <v>5.5</v>
      </c>
      <c r="M508" s="25">
        <v>5.5</v>
      </c>
      <c r="N508" s="25">
        <v>5</v>
      </c>
      <c r="O508" s="25"/>
      <c r="P508" s="25"/>
      <c r="Q508" s="25"/>
      <c r="R508" s="25"/>
      <c r="S508" s="35">
        <v>43813</v>
      </c>
      <c r="T508" s="51">
        <v>44197</v>
      </c>
      <c r="U508" s="25"/>
      <c r="V508" s="25"/>
      <c r="W508" s="25"/>
      <c r="X508" s="26" t="s">
        <v>2111</v>
      </c>
      <c r="Y508" s="25"/>
      <c r="Z508" s="25"/>
      <c r="AA508" s="35"/>
      <c r="AB508" s="25"/>
      <c r="AC508" s="25" t="str">
        <f>TRIM(StudentScore[[#This Row],[Student Email]])</f>
        <v>zishu.wan@student.mahidol.ac.th</v>
      </c>
    </row>
    <row r="509" spans="1:29" ht="27">
      <c r="A509" s="15">
        <v>503</v>
      </c>
      <c r="B509" s="33">
        <f t="shared" si="28"/>
        <v>63</v>
      </c>
      <c r="C509" s="27">
        <f t="shared" si="29"/>
        <v>2023</v>
      </c>
      <c r="D509" s="54"/>
      <c r="E509" s="19">
        <v>6388176</v>
      </c>
      <c r="F509" s="20" t="s">
        <v>38</v>
      </c>
      <c r="G509" s="20" t="s">
        <v>2112</v>
      </c>
      <c r="H509" s="32" t="s">
        <v>2113</v>
      </c>
      <c r="I509" s="25" t="s">
        <v>244</v>
      </c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6" t="s">
        <v>2114</v>
      </c>
      <c r="Y509" s="25"/>
      <c r="Z509" s="25"/>
      <c r="AA509" s="35"/>
      <c r="AB509" s="25"/>
      <c r="AC509" s="25" t="str">
        <f>TRIM(StudentScore[[#This Row],[Student Email]])</f>
        <v>pingjiang.wuw@student.mahidol.ac.th</v>
      </c>
    </row>
    <row r="510" spans="1:29" ht="27">
      <c r="A510" s="15">
        <v>504</v>
      </c>
      <c r="B510" s="33">
        <f t="shared" si="28"/>
        <v>63</v>
      </c>
      <c r="C510" s="27">
        <f t="shared" si="29"/>
        <v>2023</v>
      </c>
      <c r="D510" s="54"/>
      <c r="E510" s="19">
        <v>6388177</v>
      </c>
      <c r="F510" s="20" t="s">
        <v>38</v>
      </c>
      <c r="G510" s="20" t="s">
        <v>2115</v>
      </c>
      <c r="H510" s="32" t="s">
        <v>1763</v>
      </c>
      <c r="I510" s="25" t="s">
        <v>124</v>
      </c>
      <c r="J510" s="25">
        <v>5.5</v>
      </c>
      <c r="K510" s="25">
        <v>4.5</v>
      </c>
      <c r="L510" s="25">
        <v>5.5</v>
      </c>
      <c r="M510" s="25">
        <v>6</v>
      </c>
      <c r="N510" s="25">
        <v>6</v>
      </c>
      <c r="O510" s="25"/>
      <c r="P510" s="25"/>
      <c r="Q510" s="25"/>
      <c r="R510" s="25"/>
      <c r="S510" s="35">
        <v>43897</v>
      </c>
      <c r="T510" s="51">
        <v>44075</v>
      </c>
      <c r="U510" s="25"/>
      <c r="V510" s="25"/>
      <c r="W510" s="25"/>
      <c r="X510" s="26" t="s">
        <v>2116</v>
      </c>
      <c r="Y510" s="25"/>
      <c r="Z510" s="25"/>
      <c r="AA510" s="35"/>
      <c r="AB510" s="25"/>
      <c r="AC510" s="25" t="str">
        <f>TRIM(StudentScore[[#This Row],[Student Email]])</f>
        <v>chusong.xu@student.mahidol.ac.th</v>
      </c>
    </row>
    <row r="511" spans="1:29" ht="27">
      <c r="A511" s="15">
        <v>505</v>
      </c>
      <c r="B511" s="33">
        <f t="shared" si="28"/>
        <v>63</v>
      </c>
      <c r="C511" s="27">
        <f t="shared" si="29"/>
        <v>2023</v>
      </c>
      <c r="D511" s="54"/>
      <c r="E511" s="19">
        <v>6388178</v>
      </c>
      <c r="F511" s="20" t="s">
        <v>38</v>
      </c>
      <c r="G511" s="20" t="s">
        <v>2117</v>
      </c>
      <c r="H511" s="32" t="s">
        <v>2118</v>
      </c>
      <c r="I511" s="25" t="s">
        <v>244</v>
      </c>
      <c r="J511" s="25">
        <v>5.5</v>
      </c>
      <c r="K511" s="25">
        <v>5.5</v>
      </c>
      <c r="L511" s="25">
        <v>5</v>
      </c>
      <c r="M511" s="25">
        <v>5.5</v>
      </c>
      <c r="N511" s="25">
        <v>6</v>
      </c>
      <c r="O511" s="25"/>
      <c r="P511" s="25"/>
      <c r="Q511" s="25"/>
      <c r="R511" s="25"/>
      <c r="S511" s="35">
        <v>43897</v>
      </c>
      <c r="T511" s="51">
        <v>44287</v>
      </c>
      <c r="U511" s="25"/>
      <c r="V511" s="25"/>
      <c r="W511" s="25"/>
      <c r="X511" s="26" t="s">
        <v>2119</v>
      </c>
      <c r="Y511" s="25"/>
      <c r="Z511" s="25"/>
      <c r="AA511" s="35"/>
      <c r="AB511" s="25"/>
      <c r="AC511" s="25" t="str">
        <f>TRIM(StudentScore[[#This Row],[Student Email]])</f>
        <v>hongbo.xua@student.mahidol.ac.th</v>
      </c>
    </row>
    <row r="512" spans="1:29" ht="27">
      <c r="A512" s="15">
        <v>506</v>
      </c>
      <c r="B512" s="33">
        <f t="shared" si="28"/>
        <v>63</v>
      </c>
      <c r="C512" s="27">
        <f t="shared" si="29"/>
        <v>2023</v>
      </c>
      <c r="D512" s="54"/>
      <c r="E512" s="19">
        <v>6388180</v>
      </c>
      <c r="F512" s="20" t="s">
        <v>38</v>
      </c>
      <c r="G512" s="20" t="s">
        <v>1346</v>
      </c>
      <c r="H512" s="32" t="s">
        <v>2120</v>
      </c>
      <c r="I512" s="25" t="s">
        <v>124</v>
      </c>
      <c r="J512" s="25">
        <v>6.5</v>
      </c>
      <c r="K512" s="25">
        <v>6.5</v>
      </c>
      <c r="L512" s="25">
        <v>7</v>
      </c>
      <c r="M512" s="25">
        <v>6</v>
      </c>
      <c r="N512" s="25">
        <v>5.5</v>
      </c>
      <c r="O512" s="25"/>
      <c r="P512" s="25"/>
      <c r="Q512" s="25"/>
      <c r="R512" s="25"/>
      <c r="S512" s="35">
        <v>43798</v>
      </c>
      <c r="T512" s="51">
        <v>44136</v>
      </c>
      <c r="U512" s="25"/>
      <c r="V512" s="25"/>
      <c r="W512" s="25" t="s">
        <v>2121</v>
      </c>
      <c r="X512" s="26" t="s">
        <v>2122</v>
      </c>
      <c r="Y512" s="25"/>
      <c r="Z512" s="25"/>
      <c r="AA512" s="35"/>
      <c r="AB512" s="25"/>
      <c r="AC512" s="25" t="str">
        <f>TRIM(StudentScore[[#This Row],[Student Email]])</f>
        <v>pakin.ari@student.mahidol.ac.th</v>
      </c>
    </row>
    <row r="513" spans="1:29" ht="27">
      <c r="A513" s="15">
        <v>507</v>
      </c>
      <c r="B513" s="33">
        <f t="shared" si="28"/>
        <v>63</v>
      </c>
      <c r="C513" s="27">
        <f t="shared" si="29"/>
        <v>2023</v>
      </c>
      <c r="D513" s="54"/>
      <c r="E513" s="19">
        <v>6388181</v>
      </c>
      <c r="F513" s="20" t="s">
        <v>38</v>
      </c>
      <c r="G513" s="20" t="s">
        <v>2123</v>
      </c>
      <c r="H513" s="32" t="s">
        <v>2124</v>
      </c>
      <c r="I513" s="25" t="s">
        <v>64</v>
      </c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6" t="s">
        <v>2125</v>
      </c>
      <c r="Y513" s="25"/>
      <c r="Z513" s="25"/>
      <c r="AA513" s="35"/>
      <c r="AB513" s="25"/>
      <c r="AC513" s="25" t="str">
        <f>TRIM(StudentScore[[#This Row],[Student Email]])</f>
        <v>chengyan.dua@student.mahidol.ac.th</v>
      </c>
    </row>
    <row r="514" spans="1:29" ht="27">
      <c r="A514" s="15">
        <v>508</v>
      </c>
      <c r="B514" s="33">
        <f t="shared" si="28"/>
        <v>63</v>
      </c>
      <c r="C514" s="27">
        <f t="shared" si="29"/>
        <v>2023</v>
      </c>
      <c r="D514" s="54"/>
      <c r="E514" s="19">
        <v>6388182</v>
      </c>
      <c r="F514" s="20" t="s">
        <v>38</v>
      </c>
      <c r="G514" s="20" t="s">
        <v>2126</v>
      </c>
      <c r="H514" s="32" t="s">
        <v>2127</v>
      </c>
      <c r="I514" s="25" t="s">
        <v>124</v>
      </c>
      <c r="J514" s="25">
        <v>6</v>
      </c>
      <c r="K514" s="25">
        <v>7</v>
      </c>
      <c r="L514" s="25">
        <v>5.5</v>
      </c>
      <c r="M514" s="25">
        <v>6</v>
      </c>
      <c r="N514" s="25">
        <v>4.5</v>
      </c>
      <c r="O514" s="25"/>
      <c r="P514" s="25"/>
      <c r="Q514" s="25"/>
      <c r="R514" s="25"/>
      <c r="S514" s="35">
        <v>43982</v>
      </c>
      <c r="T514" s="51">
        <v>44197</v>
      </c>
      <c r="U514" s="25"/>
      <c r="V514" s="25"/>
      <c r="W514" s="25" t="s">
        <v>2128</v>
      </c>
      <c r="X514" s="26" t="s">
        <v>2129</v>
      </c>
      <c r="Y514" s="25"/>
      <c r="Z514" s="25"/>
      <c r="AA514" s="35"/>
      <c r="AB514" s="25"/>
      <c r="AC514" s="25" t="str">
        <f>TRIM(StudentScore[[#This Row],[Student Email]])</f>
        <v>panithi.run@student.mahidol.ac.th</v>
      </c>
    </row>
    <row r="515" spans="1:29" ht="27">
      <c r="A515" s="15">
        <v>509</v>
      </c>
      <c r="B515" s="33">
        <f t="shared" si="28"/>
        <v>63</v>
      </c>
      <c r="C515" s="27">
        <f t="shared" si="29"/>
        <v>2023</v>
      </c>
      <c r="D515" s="54"/>
      <c r="E515" s="19">
        <v>6388183</v>
      </c>
      <c r="F515" s="20" t="s">
        <v>38</v>
      </c>
      <c r="G515" s="20" t="s">
        <v>2130</v>
      </c>
      <c r="H515" s="32" t="s">
        <v>2131</v>
      </c>
      <c r="I515" s="25" t="s">
        <v>64</v>
      </c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6" t="s">
        <v>2132</v>
      </c>
      <c r="Y515" s="25"/>
      <c r="Z515" s="25"/>
      <c r="AA515" s="35"/>
      <c r="AB515" s="25"/>
      <c r="AC515" s="25" t="str">
        <f>TRIM(StudentScore[[#This Row],[Student Email]])</f>
        <v>junyi.xia@student.mahidol.ac.th</v>
      </c>
    </row>
    <row r="516" spans="1:29" ht="27">
      <c r="A516" s="15">
        <v>510</v>
      </c>
      <c r="B516" s="33">
        <f t="shared" si="28"/>
        <v>63</v>
      </c>
      <c r="C516" s="27">
        <f t="shared" si="29"/>
        <v>2023</v>
      </c>
      <c r="D516" s="54"/>
      <c r="E516" s="19">
        <v>6388184</v>
      </c>
      <c r="F516" s="20" t="s">
        <v>38</v>
      </c>
      <c r="G516" s="20" t="s">
        <v>2133</v>
      </c>
      <c r="H516" s="32" t="s">
        <v>2134</v>
      </c>
      <c r="I516" s="25" t="s">
        <v>124</v>
      </c>
      <c r="J516" s="25">
        <v>7</v>
      </c>
      <c r="K516" s="25">
        <v>7.5</v>
      </c>
      <c r="L516" s="25">
        <v>7.5</v>
      </c>
      <c r="M516" s="25">
        <v>6</v>
      </c>
      <c r="N516" s="25">
        <v>6</v>
      </c>
      <c r="O516" s="25"/>
      <c r="P516" s="25"/>
      <c r="Q516" s="25"/>
      <c r="R516" s="25"/>
      <c r="S516" s="35">
        <v>43799</v>
      </c>
      <c r="T516" s="51">
        <v>44136</v>
      </c>
      <c r="U516" s="25"/>
      <c r="V516" s="25"/>
      <c r="W516" s="25" t="s">
        <v>2135</v>
      </c>
      <c r="X516" s="26" t="s">
        <v>2136</v>
      </c>
      <c r="Y516" s="25"/>
      <c r="Z516" s="25"/>
      <c r="AA516" s="35"/>
      <c r="AB516" s="25"/>
      <c r="AC516" s="25" t="str">
        <f>TRIM(StudentScore[[#This Row],[Student Email]])</f>
        <v>patiphan.cha@student.mahidol.ac.th</v>
      </c>
    </row>
    <row r="517" spans="1:29" ht="27">
      <c r="A517" s="15">
        <v>511</v>
      </c>
      <c r="B517" s="33">
        <f t="shared" si="28"/>
        <v>63</v>
      </c>
      <c r="C517" s="27">
        <f t="shared" si="29"/>
        <v>2023</v>
      </c>
      <c r="D517" s="54"/>
      <c r="E517" s="19">
        <v>6388185</v>
      </c>
      <c r="F517" s="20" t="s">
        <v>117</v>
      </c>
      <c r="G517" s="20" t="s">
        <v>2137</v>
      </c>
      <c r="H517" s="32" t="s">
        <v>2138</v>
      </c>
      <c r="I517" s="25" t="s">
        <v>48</v>
      </c>
      <c r="J517" s="25">
        <v>675</v>
      </c>
      <c r="K517" s="25">
        <v>385</v>
      </c>
      <c r="L517" s="25">
        <v>290</v>
      </c>
      <c r="M517" s="25"/>
      <c r="N517" s="25"/>
      <c r="O517" s="25"/>
      <c r="P517" s="25"/>
      <c r="Q517" s="25"/>
      <c r="R517" s="25"/>
      <c r="S517" s="26">
        <v>44932</v>
      </c>
      <c r="T517" s="35">
        <v>44942</v>
      </c>
      <c r="U517" s="25"/>
      <c r="V517" s="25" t="s">
        <v>688</v>
      </c>
      <c r="W517" s="25" t="s">
        <v>2139</v>
      </c>
      <c r="X517" s="26" t="s">
        <v>2140</v>
      </c>
      <c r="Y517" s="42">
        <v>44942.673645833333</v>
      </c>
      <c r="Z517" s="25" t="s">
        <v>2141</v>
      </c>
      <c r="AA517" s="35"/>
      <c r="AB517" s="25"/>
      <c r="AC517" s="25" t="str">
        <f>TRIM(StudentScore[[#This Row],[Student Email]])</f>
        <v>bunradar.cha@student.mahidol.ac.th</v>
      </c>
    </row>
    <row r="518" spans="1:29" ht="27">
      <c r="A518" s="15">
        <v>512</v>
      </c>
      <c r="B518" s="33">
        <f t="shared" si="28"/>
        <v>63</v>
      </c>
      <c r="C518" s="27">
        <f t="shared" si="29"/>
        <v>2023</v>
      </c>
      <c r="D518" s="54"/>
      <c r="E518" s="19">
        <v>6388186</v>
      </c>
      <c r="F518" s="20" t="s">
        <v>117</v>
      </c>
      <c r="G518" s="20" t="s">
        <v>2142</v>
      </c>
      <c r="H518" s="32" t="s">
        <v>2143</v>
      </c>
      <c r="I518" s="25" t="s">
        <v>102</v>
      </c>
      <c r="J518" s="25">
        <v>94</v>
      </c>
      <c r="K518" s="25"/>
      <c r="L518" s="25"/>
      <c r="M518" s="25"/>
      <c r="N518" s="25"/>
      <c r="O518" s="25"/>
      <c r="P518" s="25"/>
      <c r="Q518" s="25"/>
      <c r="R518" s="25"/>
      <c r="S518" s="25"/>
      <c r="T518" s="51">
        <v>44531</v>
      </c>
      <c r="U518" s="25"/>
      <c r="V518" s="25"/>
      <c r="W518" s="25" t="s">
        <v>2144</v>
      </c>
      <c r="X518" s="26" t="s">
        <v>2145</v>
      </c>
      <c r="Y518" s="25"/>
      <c r="Z518" s="25"/>
      <c r="AA518" s="35"/>
      <c r="AB518" s="25"/>
      <c r="AC518" s="25" t="str">
        <f>TRIM(StudentScore[[#This Row],[Student Email]])</f>
        <v>chattaporn.chu@student.mahidol.ac.th</v>
      </c>
    </row>
    <row r="519" spans="1:29" ht="27">
      <c r="A519" s="15">
        <v>513</v>
      </c>
      <c r="B519" s="33">
        <f t="shared" si="28"/>
        <v>63</v>
      </c>
      <c r="C519" s="27">
        <f t="shared" si="29"/>
        <v>2023</v>
      </c>
      <c r="D519" s="54"/>
      <c r="E519" s="19">
        <v>6388187</v>
      </c>
      <c r="F519" s="20" t="s">
        <v>38</v>
      </c>
      <c r="G519" s="20" t="s">
        <v>2146</v>
      </c>
      <c r="H519" s="32" t="s">
        <v>2147</v>
      </c>
      <c r="I519" s="25" t="s">
        <v>64</v>
      </c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 t="s">
        <v>2148</v>
      </c>
      <c r="X519" s="26" t="s">
        <v>2149</v>
      </c>
      <c r="Y519" s="25"/>
      <c r="Z519" s="25"/>
      <c r="AA519" s="35"/>
      <c r="AB519" s="25"/>
      <c r="AC519" s="25" t="str">
        <f>TRIM(StudentScore[[#This Row],[Student Email]])</f>
        <v>waranat.dee@student.mahidol.ac.th</v>
      </c>
    </row>
    <row r="520" spans="1:29" ht="27">
      <c r="A520" s="15">
        <v>514</v>
      </c>
      <c r="B520" s="33">
        <f t="shared" si="28"/>
        <v>63</v>
      </c>
      <c r="C520" s="27">
        <f t="shared" si="29"/>
        <v>2023</v>
      </c>
      <c r="D520" s="54"/>
      <c r="E520" s="19">
        <v>6388188</v>
      </c>
      <c r="F520" s="20" t="s">
        <v>38</v>
      </c>
      <c r="G520" s="20" t="s">
        <v>2150</v>
      </c>
      <c r="H520" s="32" t="s">
        <v>2151</v>
      </c>
      <c r="I520" s="25" t="s">
        <v>244</v>
      </c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 t="s">
        <v>2152</v>
      </c>
      <c r="X520" s="26" t="s">
        <v>2153</v>
      </c>
      <c r="Y520" s="25"/>
      <c r="Z520" s="25"/>
      <c r="AA520" s="35"/>
      <c r="AB520" s="25"/>
      <c r="AC520" s="25" t="str">
        <f>TRIM(StudentScore[[#This Row],[Student Email]])</f>
        <v>keerati.imu@student.mahidol.ac.th</v>
      </c>
    </row>
    <row r="521" spans="1:29" ht="27">
      <c r="A521" s="15">
        <v>515</v>
      </c>
      <c r="B521" s="33">
        <f t="shared" si="28"/>
        <v>63</v>
      </c>
      <c r="C521" s="27">
        <f t="shared" si="29"/>
        <v>2023</v>
      </c>
      <c r="D521" s="54"/>
      <c r="E521" s="19">
        <v>6388189</v>
      </c>
      <c r="F521" s="20" t="s">
        <v>38</v>
      </c>
      <c r="G521" s="20" t="s">
        <v>2154</v>
      </c>
      <c r="H521" s="32" t="s">
        <v>2155</v>
      </c>
      <c r="I521" s="25" t="s">
        <v>48</v>
      </c>
      <c r="J521" s="25">
        <v>675</v>
      </c>
      <c r="K521" s="25">
        <v>375</v>
      </c>
      <c r="L521" s="25">
        <v>300</v>
      </c>
      <c r="M521" s="25"/>
      <c r="N521" s="25"/>
      <c r="O521" s="25"/>
      <c r="P521" s="25"/>
      <c r="Q521" s="25"/>
      <c r="R521" s="25"/>
      <c r="S521" s="26">
        <v>44965</v>
      </c>
      <c r="T521" s="35">
        <v>44979</v>
      </c>
      <c r="U521" s="25"/>
      <c r="V521" s="25" t="s">
        <v>1</v>
      </c>
      <c r="W521" s="25" t="s">
        <v>2156</v>
      </c>
      <c r="X521" s="26" t="s">
        <v>2157</v>
      </c>
      <c r="Y521" s="42">
        <v>44979.39203703704</v>
      </c>
      <c r="Z521" s="25" t="s">
        <v>2158</v>
      </c>
      <c r="AA521" s="35"/>
      <c r="AB521" s="25"/>
      <c r="AC521" s="25" t="str">
        <f>TRIM(StudentScore[[#This Row],[Student Email]])</f>
        <v>pawin.kha@student.mahidol.ac.th</v>
      </c>
    </row>
    <row r="522" spans="1:29" ht="27">
      <c r="A522" s="15">
        <v>516</v>
      </c>
      <c r="B522" s="33">
        <f t="shared" si="28"/>
        <v>63</v>
      </c>
      <c r="C522" s="27">
        <f t="shared" si="29"/>
        <v>2023</v>
      </c>
      <c r="D522" s="54"/>
      <c r="E522" s="19">
        <v>6388190</v>
      </c>
      <c r="F522" s="20" t="s">
        <v>38</v>
      </c>
      <c r="G522" s="20" t="s">
        <v>2159</v>
      </c>
      <c r="H522" s="32" t="s">
        <v>2160</v>
      </c>
      <c r="I522" s="25" t="s">
        <v>64</v>
      </c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 t="s">
        <v>2161</v>
      </c>
      <c r="X522" s="26" t="s">
        <v>2162</v>
      </c>
      <c r="Y522" s="25"/>
      <c r="Z522" s="25"/>
      <c r="AA522" s="35"/>
      <c r="AB522" s="25"/>
      <c r="AC522" s="25" t="str">
        <f>TRIM(StudentScore[[#This Row],[Student Email]])</f>
        <v>sarana.kra@student.mahidol.ac.th</v>
      </c>
    </row>
    <row r="523" spans="1:29" ht="27">
      <c r="A523" s="15">
        <v>517</v>
      </c>
      <c r="B523" s="33">
        <f t="shared" si="28"/>
        <v>63</v>
      </c>
      <c r="C523" s="27">
        <f t="shared" si="29"/>
        <v>2023</v>
      </c>
      <c r="D523" s="54"/>
      <c r="E523" s="19">
        <v>6388191</v>
      </c>
      <c r="F523" s="20" t="s">
        <v>38</v>
      </c>
      <c r="G523" s="20" t="s">
        <v>2163</v>
      </c>
      <c r="H523" s="32" t="s">
        <v>2164</v>
      </c>
      <c r="I523" s="25" t="s">
        <v>48</v>
      </c>
      <c r="J523" s="25">
        <v>875</v>
      </c>
      <c r="K523" s="25">
        <v>470</v>
      </c>
      <c r="L523" s="25">
        <v>405</v>
      </c>
      <c r="M523" s="25"/>
      <c r="N523" s="25"/>
      <c r="O523" s="25"/>
      <c r="P523" s="25"/>
      <c r="Q523" s="25"/>
      <c r="R523" s="25"/>
      <c r="S523" s="35">
        <v>45028</v>
      </c>
      <c r="T523" s="35">
        <v>45041</v>
      </c>
      <c r="U523" s="25"/>
      <c r="V523" s="25"/>
      <c r="W523" s="25" t="s">
        <v>2165</v>
      </c>
      <c r="X523" s="26" t="s">
        <v>2166</v>
      </c>
      <c r="Y523" s="25"/>
      <c r="Z523" s="25"/>
      <c r="AA523" s="35"/>
      <c r="AB523" s="25"/>
      <c r="AC523" s="25" t="str">
        <f>TRIM(StudentScore[[#This Row],[Student Email]])</f>
        <v>sahapap.lor@student.mahidol.ac.th</v>
      </c>
    </row>
    <row r="524" spans="1:29" ht="27">
      <c r="A524" s="15">
        <v>518</v>
      </c>
      <c r="B524" s="33">
        <f t="shared" si="28"/>
        <v>63</v>
      </c>
      <c r="C524" s="27">
        <f t="shared" si="29"/>
        <v>2023</v>
      </c>
      <c r="D524" s="54"/>
      <c r="E524" s="19">
        <v>6388192</v>
      </c>
      <c r="F524" s="20" t="s">
        <v>38</v>
      </c>
      <c r="G524" s="20" t="s">
        <v>2167</v>
      </c>
      <c r="H524" s="32" t="s">
        <v>2168</v>
      </c>
      <c r="I524" s="25" t="s">
        <v>64</v>
      </c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 t="s">
        <v>2169</v>
      </c>
      <c r="X524" s="26" t="s">
        <v>2170</v>
      </c>
      <c r="Y524" s="25"/>
      <c r="Z524" s="25"/>
      <c r="AA524" s="35"/>
      <c r="AB524" s="25"/>
      <c r="AC524" s="25" t="str">
        <f>TRIM(StudentScore[[#This Row],[Student Email]])</f>
        <v>atikoon.phu@student.mahidol.ac.th</v>
      </c>
    </row>
    <row r="525" spans="1:29" ht="27">
      <c r="A525" s="15">
        <v>519</v>
      </c>
      <c r="B525" s="33">
        <f t="shared" si="28"/>
        <v>63</v>
      </c>
      <c r="C525" s="27">
        <f t="shared" si="29"/>
        <v>2023</v>
      </c>
      <c r="D525" s="54"/>
      <c r="E525" s="19">
        <v>6388193</v>
      </c>
      <c r="F525" s="20" t="s">
        <v>38</v>
      </c>
      <c r="G525" s="20" t="s">
        <v>2171</v>
      </c>
      <c r="H525" s="32" t="s">
        <v>2172</v>
      </c>
      <c r="I525" s="25" t="s">
        <v>102</v>
      </c>
      <c r="J525" s="25">
        <v>77</v>
      </c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 t="s">
        <v>2173</v>
      </c>
      <c r="X525" s="26" t="s">
        <v>2174</v>
      </c>
      <c r="Y525" s="25"/>
      <c r="Z525" s="25"/>
      <c r="AA525" s="35"/>
      <c r="AB525" s="25"/>
      <c r="AC525" s="25" t="str">
        <f>TRIM(StudentScore[[#This Row],[Student Email]])</f>
        <v>vainawin.piy@student.mahidol.ac.th</v>
      </c>
    </row>
    <row r="526" spans="1:29" ht="27">
      <c r="A526" s="15">
        <v>520</v>
      </c>
      <c r="B526" s="33">
        <f t="shared" si="28"/>
        <v>63</v>
      </c>
      <c r="C526" s="27">
        <f t="shared" si="29"/>
        <v>2023</v>
      </c>
      <c r="D526" s="54"/>
      <c r="E526" s="19">
        <v>6388194</v>
      </c>
      <c r="F526" s="20" t="s">
        <v>117</v>
      </c>
      <c r="G526" s="20" t="s">
        <v>2175</v>
      </c>
      <c r="H526" s="32" t="s">
        <v>2176</v>
      </c>
      <c r="I526" s="25" t="s">
        <v>48</v>
      </c>
      <c r="J526" s="25">
        <v>635</v>
      </c>
      <c r="K526" s="25">
        <v>385</v>
      </c>
      <c r="L526" s="25">
        <v>250</v>
      </c>
      <c r="M526" s="25"/>
      <c r="N526" s="25"/>
      <c r="O526" s="25"/>
      <c r="P526" s="25"/>
      <c r="Q526" s="25"/>
      <c r="R526" s="25"/>
      <c r="S526" s="26">
        <v>44916</v>
      </c>
      <c r="T526" s="35">
        <v>44939</v>
      </c>
      <c r="U526" s="25"/>
      <c r="V526" s="25" t="s">
        <v>2177</v>
      </c>
      <c r="W526" s="25" t="s">
        <v>2178</v>
      </c>
      <c r="X526" s="26" t="s">
        <v>2179</v>
      </c>
      <c r="Y526" s="42">
        <v>44939.391712962963</v>
      </c>
      <c r="Z526" s="25" t="s">
        <v>2180</v>
      </c>
      <c r="AA526" s="35"/>
      <c r="AB526" s="25"/>
      <c r="AC526" s="25" t="str">
        <f>TRIM(StudentScore[[#This Row],[Student Email]])</f>
        <v>pantaree.prs@student.mahidol.ac.th</v>
      </c>
    </row>
    <row r="527" spans="1:29" ht="27">
      <c r="A527" s="15">
        <v>521</v>
      </c>
      <c r="B527" s="33">
        <f t="shared" si="28"/>
        <v>63</v>
      </c>
      <c r="C527" s="27">
        <f t="shared" si="29"/>
        <v>2023</v>
      </c>
      <c r="D527" s="54"/>
      <c r="E527" s="19">
        <v>6388195</v>
      </c>
      <c r="F527" s="20" t="s">
        <v>117</v>
      </c>
      <c r="G527" s="20" t="s">
        <v>1309</v>
      </c>
      <c r="H527" s="32" t="s">
        <v>2181</v>
      </c>
      <c r="I527" s="25" t="s">
        <v>102</v>
      </c>
      <c r="J527" s="25">
        <v>79</v>
      </c>
      <c r="K527" s="25"/>
      <c r="L527" s="25"/>
      <c r="M527" s="25"/>
      <c r="N527" s="25"/>
      <c r="O527" s="25"/>
      <c r="P527" s="25"/>
      <c r="Q527" s="25"/>
      <c r="R527" s="25"/>
      <c r="S527" s="25"/>
      <c r="T527" s="51">
        <v>44531</v>
      </c>
      <c r="U527" s="25"/>
      <c r="V527" s="25"/>
      <c r="W527" s="25" t="s">
        <v>2182</v>
      </c>
      <c r="X527" s="26" t="s">
        <v>2183</v>
      </c>
      <c r="Y527" s="25"/>
      <c r="Z527" s="25"/>
      <c r="AA527" s="35"/>
      <c r="AB527" s="25"/>
      <c r="AC527" s="25" t="str">
        <f>TRIM(StudentScore[[#This Row],[Student Email]])</f>
        <v>natnicha.sae@student.mahidol.ac.th</v>
      </c>
    </row>
    <row r="528" spans="1:29" ht="27">
      <c r="A528" s="15">
        <v>522</v>
      </c>
      <c r="B528" s="33">
        <f t="shared" si="28"/>
        <v>63</v>
      </c>
      <c r="C528" s="27">
        <f t="shared" si="29"/>
        <v>2023</v>
      </c>
      <c r="D528" s="54"/>
      <c r="E528" s="19">
        <v>6388196</v>
      </c>
      <c r="F528" s="20" t="s">
        <v>117</v>
      </c>
      <c r="G528" s="20" t="s">
        <v>2184</v>
      </c>
      <c r="H528" s="32" t="s">
        <v>2185</v>
      </c>
      <c r="I528" s="25" t="s">
        <v>48</v>
      </c>
      <c r="J528" s="25">
        <v>665</v>
      </c>
      <c r="K528" s="25">
        <v>420</v>
      </c>
      <c r="L528" s="25">
        <v>245</v>
      </c>
      <c r="M528" s="25"/>
      <c r="N528" s="25"/>
      <c r="O528" s="25"/>
      <c r="P528" s="25"/>
      <c r="Q528" s="25"/>
      <c r="R528" s="25"/>
      <c r="S528" s="35">
        <v>43748</v>
      </c>
      <c r="T528" s="51">
        <v>44105</v>
      </c>
      <c r="U528" s="25"/>
      <c r="V528" s="25"/>
      <c r="W528" s="25" t="s">
        <v>2186</v>
      </c>
      <c r="X528" s="26" t="s">
        <v>2187</v>
      </c>
      <c r="Y528" s="25"/>
      <c r="Z528" s="25"/>
      <c r="AA528" s="35"/>
      <c r="AB528" s="25"/>
      <c r="AC528" s="25" t="str">
        <f>TRIM(StudentScore[[#This Row],[Student Email]])</f>
        <v>sasima.sri@student.mahidol.ac.th</v>
      </c>
    </row>
    <row r="529" spans="1:29" ht="27">
      <c r="A529" s="15">
        <v>523</v>
      </c>
      <c r="B529" s="33">
        <f t="shared" si="28"/>
        <v>63</v>
      </c>
      <c r="C529" s="27">
        <f t="shared" si="29"/>
        <v>2023</v>
      </c>
      <c r="D529" s="54"/>
      <c r="E529" s="19">
        <v>6388197</v>
      </c>
      <c r="F529" s="20" t="s">
        <v>38</v>
      </c>
      <c r="G529" s="20" t="s">
        <v>2188</v>
      </c>
      <c r="H529" s="32" t="s">
        <v>2189</v>
      </c>
      <c r="I529" s="25" t="s">
        <v>64</v>
      </c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 t="s">
        <v>2190</v>
      </c>
      <c r="X529" s="26" t="s">
        <v>2191</v>
      </c>
      <c r="Y529" s="25"/>
      <c r="Z529" s="25"/>
      <c r="AA529" s="35"/>
      <c r="AB529" s="25"/>
      <c r="AC529" s="25" t="str">
        <f>TRIM(StudentScore[[#This Row],[Student Email]])</f>
        <v>wattnnapong.suk@student.mahidol.ac.th</v>
      </c>
    </row>
    <row r="530" spans="1:29" ht="27">
      <c r="A530" s="15">
        <v>524</v>
      </c>
      <c r="B530" s="33">
        <f t="shared" si="28"/>
        <v>63</v>
      </c>
      <c r="C530" s="27">
        <f t="shared" si="29"/>
        <v>2023</v>
      </c>
      <c r="D530" s="54"/>
      <c r="E530" s="19">
        <v>6388198</v>
      </c>
      <c r="F530" s="20" t="s">
        <v>117</v>
      </c>
      <c r="G530" s="20" t="s">
        <v>2192</v>
      </c>
      <c r="H530" s="32" t="s">
        <v>2193</v>
      </c>
      <c r="I530" s="25" t="s">
        <v>64</v>
      </c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 t="s">
        <v>2194</v>
      </c>
      <c r="X530" s="26" t="s">
        <v>2195</v>
      </c>
      <c r="Y530" s="25"/>
      <c r="Z530" s="25"/>
      <c r="AA530" s="35"/>
      <c r="AB530" s="25"/>
      <c r="AC530" s="25" t="str">
        <f>TRIM(StudentScore[[#This Row],[Student Email]])</f>
        <v>thachanok.tho@student.mahidol.ac.th</v>
      </c>
    </row>
    <row r="531" spans="1:29" ht="27">
      <c r="A531" s="15">
        <v>525</v>
      </c>
      <c r="B531" s="33">
        <f t="shared" si="28"/>
        <v>63</v>
      </c>
      <c r="C531" s="27">
        <f t="shared" si="29"/>
        <v>2023</v>
      </c>
      <c r="D531" s="54"/>
      <c r="E531" s="19">
        <v>6388199</v>
      </c>
      <c r="F531" s="20" t="s">
        <v>117</v>
      </c>
      <c r="G531" s="20" t="s">
        <v>2196</v>
      </c>
      <c r="H531" s="32" t="s">
        <v>2197</v>
      </c>
      <c r="I531" s="25" t="s">
        <v>64</v>
      </c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 t="s">
        <v>2198</v>
      </c>
      <c r="X531" s="26" t="s">
        <v>2199</v>
      </c>
      <c r="Y531" s="25"/>
      <c r="Z531" s="25"/>
      <c r="AA531" s="35"/>
      <c r="AB531" s="25"/>
      <c r="AC531" s="25" t="str">
        <f>TRIM(StudentScore[[#This Row],[Student Email]])</f>
        <v>janicha.ura@student.mahidol.ac.th</v>
      </c>
    </row>
    <row r="532" spans="1:29" ht="27">
      <c r="A532" s="15">
        <v>526</v>
      </c>
      <c r="B532" s="33">
        <f t="shared" si="28"/>
        <v>63</v>
      </c>
      <c r="C532" s="27">
        <f t="shared" si="29"/>
        <v>2023</v>
      </c>
      <c r="D532" s="54"/>
      <c r="E532" s="19">
        <v>6388200</v>
      </c>
      <c r="F532" s="20" t="s">
        <v>38</v>
      </c>
      <c r="G532" s="20" t="s">
        <v>447</v>
      </c>
      <c r="H532" s="32" t="s">
        <v>2200</v>
      </c>
      <c r="I532" s="25" t="s">
        <v>64</v>
      </c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 t="s">
        <v>2201</v>
      </c>
      <c r="X532" s="26" t="s">
        <v>2202</v>
      </c>
      <c r="Y532" s="25"/>
      <c r="Z532" s="25"/>
      <c r="AA532" s="35"/>
      <c r="AB532" s="25"/>
      <c r="AC532" s="25" t="str">
        <f>TRIM(StudentScore[[#This Row],[Student Email]])</f>
        <v>napat.vee@student.mahidol.ac.th</v>
      </c>
    </row>
    <row r="533" spans="1:29" ht="27">
      <c r="A533" s="15">
        <v>527</v>
      </c>
      <c r="B533" s="33">
        <f t="shared" si="28"/>
        <v>63</v>
      </c>
      <c r="C533" s="27">
        <f t="shared" si="29"/>
        <v>2023</v>
      </c>
      <c r="D533" s="54"/>
      <c r="E533" s="19">
        <v>6388201</v>
      </c>
      <c r="F533" s="20" t="s">
        <v>38</v>
      </c>
      <c r="G533" s="20" t="s">
        <v>2203</v>
      </c>
      <c r="H533" s="32" t="s">
        <v>2204</v>
      </c>
      <c r="I533" s="25" t="s">
        <v>64</v>
      </c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 t="s">
        <v>2205</v>
      </c>
      <c r="X533" s="26" t="s">
        <v>2206</v>
      </c>
      <c r="Y533" s="25"/>
      <c r="Z533" s="25"/>
      <c r="AA533" s="35"/>
      <c r="AB533" s="25"/>
      <c r="AC533" s="25" t="str">
        <f>TRIM(StudentScore[[#This Row],[Student Email]])</f>
        <v>phuvanarth.wan@student.mahidol.ac.th</v>
      </c>
    </row>
    <row r="534" spans="1:29" ht="27">
      <c r="A534" s="15">
        <v>528</v>
      </c>
      <c r="B534" s="33">
        <f t="shared" si="28"/>
        <v>63</v>
      </c>
      <c r="C534" s="27">
        <f t="shared" si="29"/>
        <v>2023</v>
      </c>
      <c r="D534" s="54"/>
      <c r="E534" s="19">
        <v>6388205</v>
      </c>
      <c r="F534" s="20" t="s">
        <v>38</v>
      </c>
      <c r="G534" s="20" t="s">
        <v>2207</v>
      </c>
      <c r="H534" s="32" t="s">
        <v>2208</v>
      </c>
      <c r="I534" s="25" t="s">
        <v>244</v>
      </c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 t="s">
        <v>2209</v>
      </c>
      <c r="X534" s="26" t="s">
        <v>2210</v>
      </c>
      <c r="Y534" s="25"/>
      <c r="Z534" s="25"/>
      <c r="AA534" s="35"/>
      <c r="AB534" s="25"/>
      <c r="AC534" s="25" t="str">
        <f>TRIM(StudentScore[[#This Row],[Student Email]])</f>
        <v>krittana.che@student.mahidol.ac.th</v>
      </c>
    </row>
    <row r="535" spans="1:29" ht="27">
      <c r="A535" s="15">
        <v>529</v>
      </c>
      <c r="B535" s="33">
        <f t="shared" si="28"/>
        <v>63</v>
      </c>
      <c r="C535" s="27">
        <f t="shared" si="29"/>
        <v>2023</v>
      </c>
      <c r="D535" s="54"/>
      <c r="E535" s="19">
        <v>6388206</v>
      </c>
      <c r="F535" s="20" t="s">
        <v>38</v>
      </c>
      <c r="G535" s="20" t="s">
        <v>2211</v>
      </c>
      <c r="H535" s="32" t="s">
        <v>2212</v>
      </c>
      <c r="I535" s="25" t="s">
        <v>133</v>
      </c>
      <c r="J535" s="25">
        <v>95</v>
      </c>
      <c r="K535" s="25"/>
      <c r="L535" s="25"/>
      <c r="M535" s="25"/>
      <c r="N535" s="25"/>
      <c r="O535" s="25"/>
      <c r="P535" s="25"/>
      <c r="Q535" s="25"/>
      <c r="R535" s="25"/>
      <c r="S535" s="35">
        <v>44522</v>
      </c>
      <c r="T535" s="51">
        <v>44531</v>
      </c>
      <c r="U535" s="25"/>
      <c r="V535" s="25"/>
      <c r="W535" s="25" t="s">
        <v>2213</v>
      </c>
      <c r="X535" s="26" t="s">
        <v>2214</v>
      </c>
      <c r="Y535" s="25"/>
      <c r="Z535" s="25"/>
      <c r="AA535" s="35"/>
      <c r="AB535" s="25"/>
      <c r="AC535" s="25" t="str">
        <f>TRIM(StudentScore[[#This Row],[Student Email]])</f>
        <v>tawan.mee@student.mahidol.ac.th</v>
      </c>
    </row>
    <row r="536" spans="1:29" ht="27">
      <c r="A536" s="15">
        <v>530</v>
      </c>
      <c r="B536" s="33">
        <f t="shared" si="28"/>
        <v>63</v>
      </c>
      <c r="C536" s="27">
        <f t="shared" si="29"/>
        <v>2023</v>
      </c>
      <c r="D536" s="54"/>
      <c r="E536" s="19">
        <v>6388208</v>
      </c>
      <c r="F536" s="20" t="s">
        <v>117</v>
      </c>
      <c r="G536" s="20" t="s">
        <v>2215</v>
      </c>
      <c r="H536" s="32" t="s">
        <v>2216</v>
      </c>
      <c r="I536" s="25" t="s">
        <v>64</v>
      </c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 t="s">
        <v>2217</v>
      </c>
      <c r="X536" s="26" t="s">
        <v>2218</v>
      </c>
      <c r="Y536" s="25"/>
      <c r="Z536" s="25"/>
      <c r="AA536" s="35"/>
      <c r="AB536" s="25"/>
      <c r="AC536" s="25" t="str">
        <f>TRIM(StudentScore[[#This Row],[Student Email]])</f>
        <v>rinrada.prs@student.mahidol.ac.th</v>
      </c>
    </row>
    <row r="537" spans="1:29" ht="27">
      <c r="A537" s="15">
        <v>531</v>
      </c>
      <c r="B537" s="33">
        <f t="shared" si="28"/>
        <v>63</v>
      </c>
      <c r="C537" s="27">
        <f t="shared" si="29"/>
        <v>2023</v>
      </c>
      <c r="D537" s="54"/>
      <c r="E537" s="19">
        <v>6388209</v>
      </c>
      <c r="F537" s="20" t="s">
        <v>38</v>
      </c>
      <c r="G537" s="20" t="s">
        <v>2219</v>
      </c>
      <c r="H537" s="32" t="s">
        <v>2220</v>
      </c>
      <c r="I537" s="25" t="s">
        <v>64</v>
      </c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 t="s">
        <v>2221</v>
      </c>
      <c r="X537" s="26" t="s">
        <v>2222</v>
      </c>
      <c r="Y537" s="25"/>
      <c r="Z537" s="25"/>
      <c r="AA537" s="35"/>
      <c r="AB537" s="25"/>
      <c r="AC537" s="25" t="str">
        <f>TRIM(StudentScore[[#This Row],[Student Email]])</f>
        <v>vorakit.vai@student.mahidol.ac.th</v>
      </c>
    </row>
    <row r="538" spans="1:29" ht="27">
      <c r="A538" s="15">
        <v>532</v>
      </c>
      <c r="B538" s="33">
        <f t="shared" si="28"/>
        <v>63</v>
      </c>
      <c r="C538" s="27">
        <f t="shared" si="29"/>
        <v>2023</v>
      </c>
      <c r="D538" s="54"/>
      <c r="E538" s="19">
        <v>6388211</v>
      </c>
      <c r="F538" s="20" t="s">
        <v>117</v>
      </c>
      <c r="G538" s="20" t="s">
        <v>2223</v>
      </c>
      <c r="H538" s="32" t="s">
        <v>2224</v>
      </c>
      <c r="I538" s="25" t="s">
        <v>64</v>
      </c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 t="s">
        <v>2225</v>
      </c>
      <c r="X538" s="26" t="s">
        <v>2226</v>
      </c>
      <c r="Y538" s="25"/>
      <c r="Z538" s="25"/>
      <c r="AA538" s="35"/>
      <c r="AB538" s="25"/>
      <c r="AC538" s="25" t="str">
        <f>TRIM(StudentScore[[#This Row],[Student Email]])</f>
        <v>maythapron.kan@student.mahidol.ac.th</v>
      </c>
    </row>
    <row r="539" spans="1:29" ht="27">
      <c r="A539" s="15">
        <v>533</v>
      </c>
      <c r="B539" s="33">
        <f t="shared" si="28"/>
        <v>63</v>
      </c>
      <c r="C539" s="27">
        <f t="shared" si="29"/>
        <v>2023</v>
      </c>
      <c r="D539" s="54"/>
      <c r="E539" s="19">
        <v>6388212</v>
      </c>
      <c r="F539" s="20" t="s">
        <v>117</v>
      </c>
      <c r="G539" s="20" t="s">
        <v>2227</v>
      </c>
      <c r="H539" s="32" t="s">
        <v>2228</v>
      </c>
      <c r="I539" s="25" t="s">
        <v>133</v>
      </c>
      <c r="J539" s="25">
        <v>105</v>
      </c>
      <c r="K539" s="25"/>
      <c r="L539" s="25"/>
      <c r="M539" s="25"/>
      <c r="N539" s="25"/>
      <c r="O539" s="25"/>
      <c r="P539" s="25"/>
      <c r="Q539" s="25"/>
      <c r="R539" s="25"/>
      <c r="S539" s="35">
        <v>44004</v>
      </c>
      <c r="T539" s="51">
        <v>44197</v>
      </c>
      <c r="U539" s="25"/>
      <c r="V539" s="25"/>
      <c r="W539" s="25" t="s">
        <v>2229</v>
      </c>
      <c r="X539" s="26" t="s">
        <v>2230</v>
      </c>
      <c r="Y539" s="25"/>
      <c r="Z539" s="25"/>
      <c r="AA539" s="35"/>
      <c r="AB539" s="25"/>
      <c r="AC539" s="25" t="str">
        <f>TRIM(StudentScore[[#This Row],[Student Email]])</f>
        <v>saranyaporn.kun@student.mahidol.ac.th</v>
      </c>
    </row>
    <row r="540" spans="1:29" ht="27">
      <c r="A540" s="15">
        <v>534</v>
      </c>
      <c r="B540" s="33">
        <f t="shared" si="28"/>
        <v>63</v>
      </c>
      <c r="C540" s="27">
        <f t="shared" si="29"/>
        <v>2023</v>
      </c>
      <c r="D540" s="54"/>
      <c r="E540" s="19">
        <v>6388213</v>
      </c>
      <c r="F540" s="20" t="s">
        <v>38</v>
      </c>
      <c r="G540" s="20" t="s">
        <v>744</v>
      </c>
      <c r="H540" s="32" t="s">
        <v>2231</v>
      </c>
      <c r="I540" s="25" t="s">
        <v>64</v>
      </c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 t="s">
        <v>2232</v>
      </c>
      <c r="X540" s="26" t="s">
        <v>2233</v>
      </c>
      <c r="Y540" s="25"/>
      <c r="Z540" s="25"/>
      <c r="AA540" s="35"/>
      <c r="AB540" s="25"/>
      <c r="AC540" s="25" t="str">
        <f>TRIM(StudentScore[[#This Row],[Student Email]])</f>
        <v>thanakorn.chd@student.mahidol.ac.th</v>
      </c>
    </row>
    <row r="541" spans="1:29" ht="27">
      <c r="A541" s="15">
        <v>535</v>
      </c>
      <c r="B541" s="33">
        <f t="shared" si="28"/>
        <v>64</v>
      </c>
      <c r="C541" s="27">
        <f t="shared" si="29"/>
        <v>2024</v>
      </c>
      <c r="D541" s="54"/>
      <c r="E541" s="19">
        <v>6488001</v>
      </c>
      <c r="F541" s="20" t="s">
        <v>117</v>
      </c>
      <c r="G541" s="20" t="s">
        <v>447</v>
      </c>
      <c r="H541" s="32" t="s">
        <v>2234</v>
      </c>
      <c r="I541" s="25" t="s">
        <v>41</v>
      </c>
      <c r="J541" s="25">
        <v>527</v>
      </c>
      <c r="K541" s="25">
        <v>53</v>
      </c>
      <c r="L541" s="25">
        <v>53</v>
      </c>
      <c r="M541" s="25">
        <v>52</v>
      </c>
      <c r="N541" s="25"/>
      <c r="O541" s="25"/>
      <c r="P541" s="25"/>
      <c r="Q541" s="25"/>
      <c r="R541" s="25"/>
      <c r="S541" s="35">
        <v>44754</v>
      </c>
      <c r="T541" s="51">
        <v>44774</v>
      </c>
      <c r="U541" s="25"/>
      <c r="V541" s="25"/>
      <c r="W541" s="25">
        <v>830380422</v>
      </c>
      <c r="X541" s="26" t="s">
        <v>2235</v>
      </c>
      <c r="Y541" s="25"/>
      <c r="Z541" s="25"/>
      <c r="AA541" s="35"/>
      <c r="AB541" s="25"/>
      <c r="AC541" s="25" t="str">
        <f>TRIM(StudentScore[[#This Row],[Student Email]])</f>
        <v>napat.bog@student.mahidol.ac.th</v>
      </c>
    </row>
    <row r="542" spans="1:29" ht="27">
      <c r="A542" s="15">
        <v>536</v>
      </c>
      <c r="B542" s="33">
        <f t="shared" si="28"/>
        <v>64</v>
      </c>
      <c r="C542" s="27">
        <f t="shared" si="29"/>
        <v>2024</v>
      </c>
      <c r="D542" s="54"/>
      <c r="E542" s="19">
        <v>6488002</v>
      </c>
      <c r="F542" s="20" t="s">
        <v>38</v>
      </c>
      <c r="G542" s="20" t="s">
        <v>2236</v>
      </c>
      <c r="H542" s="32" t="s">
        <v>2237</v>
      </c>
      <c r="I542" s="25" t="s">
        <v>124</v>
      </c>
      <c r="J542" s="25">
        <v>5.5</v>
      </c>
      <c r="K542" s="25">
        <v>5</v>
      </c>
      <c r="L542" s="25">
        <v>5.5</v>
      </c>
      <c r="M542" s="25">
        <v>5</v>
      </c>
      <c r="N542" s="25">
        <v>6</v>
      </c>
      <c r="O542" s="25"/>
      <c r="P542" s="25"/>
      <c r="Q542" s="25"/>
      <c r="R542" s="25"/>
      <c r="S542" s="35">
        <v>43984</v>
      </c>
      <c r="T542" s="51">
        <v>44378</v>
      </c>
      <c r="U542" s="25"/>
      <c r="V542" s="25"/>
      <c r="W542" s="25">
        <v>990489532</v>
      </c>
      <c r="X542" s="26" t="s">
        <v>2238</v>
      </c>
      <c r="Y542" s="25"/>
      <c r="Z542" s="25"/>
      <c r="AA542" s="35"/>
      <c r="AB542" s="25"/>
      <c r="AC542" s="25" t="str">
        <f>TRIM(StudentScore[[#This Row],[Student Email]])</f>
        <v>sirasan.srj@student.mahidol.ac.th</v>
      </c>
    </row>
    <row r="543" spans="1:29" ht="27">
      <c r="A543" s="15">
        <v>537</v>
      </c>
      <c r="B543" s="33">
        <f t="shared" si="28"/>
        <v>64</v>
      </c>
      <c r="C543" s="27">
        <f t="shared" si="29"/>
        <v>2024</v>
      </c>
      <c r="D543" s="54"/>
      <c r="E543" s="19">
        <v>6488003</v>
      </c>
      <c r="F543" s="20" t="s">
        <v>38</v>
      </c>
      <c r="G543" s="20" t="s">
        <v>917</v>
      </c>
      <c r="H543" s="32" t="s">
        <v>2239</v>
      </c>
      <c r="I543" s="25" t="s">
        <v>64</v>
      </c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>
        <v>621977756</v>
      </c>
      <c r="X543" s="26" t="s">
        <v>2240</v>
      </c>
      <c r="Y543" s="25"/>
      <c r="Z543" s="25"/>
      <c r="AA543" s="35"/>
      <c r="AB543" s="25"/>
      <c r="AC543" s="25" t="str">
        <f>TRIM(StudentScore[[#This Row],[Student Email]])</f>
        <v>kasidis.aia@student.mahidol.ac.th</v>
      </c>
    </row>
    <row r="544" spans="1:29" ht="27">
      <c r="A544" s="15">
        <v>538</v>
      </c>
      <c r="B544" s="33">
        <f t="shared" si="28"/>
        <v>64</v>
      </c>
      <c r="C544" s="27">
        <f t="shared" si="29"/>
        <v>2024</v>
      </c>
      <c r="D544" s="54"/>
      <c r="E544" s="19">
        <v>6488004</v>
      </c>
      <c r="F544" s="20" t="s">
        <v>38</v>
      </c>
      <c r="G544" s="20" t="s">
        <v>2241</v>
      </c>
      <c r="H544" s="32" t="s">
        <v>2242</v>
      </c>
      <c r="I544" s="25" t="s">
        <v>64</v>
      </c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>
        <v>616654652</v>
      </c>
      <c r="X544" s="26" t="s">
        <v>2243</v>
      </c>
      <c r="Y544" s="25"/>
      <c r="Z544" s="25"/>
      <c r="AA544" s="35"/>
      <c r="AB544" s="25"/>
      <c r="AC544" s="25" t="str">
        <f>TRIM(StudentScore[[#This Row],[Student Email]])</f>
        <v>kittipich.aiu@student.mahidol.ac.th</v>
      </c>
    </row>
    <row r="545" spans="1:29" ht="27">
      <c r="A545" s="15">
        <v>539</v>
      </c>
      <c r="B545" s="33">
        <f t="shared" si="28"/>
        <v>64</v>
      </c>
      <c r="C545" s="27">
        <f t="shared" si="29"/>
        <v>2024</v>
      </c>
      <c r="D545" s="54"/>
      <c r="E545" s="19">
        <v>6488005</v>
      </c>
      <c r="F545" s="20" t="s">
        <v>38</v>
      </c>
      <c r="G545" s="20" t="s">
        <v>2244</v>
      </c>
      <c r="H545" s="32" t="s">
        <v>2245</v>
      </c>
      <c r="I545" s="25" t="s">
        <v>64</v>
      </c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>
        <v>954833491</v>
      </c>
      <c r="X545" s="26" t="s">
        <v>2246</v>
      </c>
      <c r="Y545" s="25"/>
      <c r="Z545" s="25"/>
      <c r="AA545" s="35"/>
      <c r="AB545" s="25"/>
      <c r="AC545" s="25" t="str">
        <f>TRIM(StudentScore[[#This Row],[Student Email]])</f>
        <v>sirawich.ann@student.mahidol.ac.th</v>
      </c>
    </row>
    <row r="546" spans="1:29" ht="27">
      <c r="A546" s="15">
        <v>540</v>
      </c>
      <c r="B546" s="33">
        <f t="shared" si="28"/>
        <v>64</v>
      </c>
      <c r="C546" s="27">
        <f t="shared" si="29"/>
        <v>2024</v>
      </c>
      <c r="D546" s="54"/>
      <c r="E546" s="19">
        <v>6488006</v>
      </c>
      <c r="F546" s="20" t="s">
        <v>38</v>
      </c>
      <c r="G546" s="20" t="s">
        <v>2247</v>
      </c>
      <c r="H546" s="32" t="s">
        <v>2248</v>
      </c>
      <c r="I546" s="25" t="s">
        <v>124</v>
      </c>
      <c r="J546" s="25">
        <v>5.5</v>
      </c>
      <c r="K546" s="25">
        <v>6.5</v>
      </c>
      <c r="L546" s="25">
        <v>5</v>
      </c>
      <c r="M546" s="25">
        <v>4.5</v>
      </c>
      <c r="N546" s="25">
        <v>5.5</v>
      </c>
      <c r="O546" s="25"/>
      <c r="P546" s="25"/>
      <c r="Q546" s="25"/>
      <c r="R546" s="25"/>
      <c r="S546" s="35">
        <v>44156</v>
      </c>
      <c r="T546" s="51">
        <v>44409</v>
      </c>
      <c r="U546" s="25"/>
      <c r="V546" s="25"/>
      <c r="W546" s="25">
        <v>994235333</v>
      </c>
      <c r="X546" s="26" t="s">
        <v>2249</v>
      </c>
      <c r="Y546" s="25"/>
      <c r="Z546" s="25"/>
      <c r="AA546" s="35"/>
      <c r="AB546" s="25"/>
      <c r="AC546" s="25" t="str">
        <f>TRIM(StudentScore[[#This Row],[Student Email]])</f>
        <v>pattaradanai.boo@student.mahidol.ac.th</v>
      </c>
    </row>
    <row r="547" spans="1:29" ht="27">
      <c r="A547" s="15">
        <v>541</v>
      </c>
      <c r="B547" s="33">
        <f t="shared" si="28"/>
        <v>64</v>
      </c>
      <c r="C547" s="27">
        <f t="shared" si="29"/>
        <v>2024</v>
      </c>
      <c r="D547" s="54"/>
      <c r="E547" s="19">
        <v>6488007</v>
      </c>
      <c r="F547" s="20" t="s">
        <v>38</v>
      </c>
      <c r="G547" s="20" t="s">
        <v>2250</v>
      </c>
      <c r="H547" s="32" t="s">
        <v>2251</v>
      </c>
      <c r="I547" s="25" t="s">
        <v>64</v>
      </c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>
        <v>958275425</v>
      </c>
      <c r="X547" s="26" t="s">
        <v>2252</v>
      </c>
      <c r="Y547" s="25"/>
      <c r="Z547" s="25"/>
      <c r="AA547" s="35"/>
      <c r="AB547" s="25"/>
      <c r="AC547" s="25" t="str">
        <f>TRIM(StudentScore[[#This Row],[Student Email]])</f>
        <v>poramee.api@student.mahidol.ac.th</v>
      </c>
    </row>
    <row r="548" spans="1:29" ht="27">
      <c r="A548" s="15">
        <v>542</v>
      </c>
      <c r="B548" s="33">
        <f t="shared" si="28"/>
        <v>64</v>
      </c>
      <c r="C548" s="27">
        <f t="shared" si="29"/>
        <v>2024</v>
      </c>
      <c r="D548" s="54"/>
      <c r="E548" s="19">
        <v>6488008</v>
      </c>
      <c r="F548" s="20" t="s">
        <v>38</v>
      </c>
      <c r="G548" s="20" t="s">
        <v>2253</v>
      </c>
      <c r="H548" s="32" t="s">
        <v>2254</v>
      </c>
      <c r="I548" s="25" t="s">
        <v>53</v>
      </c>
      <c r="J548" s="25">
        <v>102</v>
      </c>
      <c r="K548" s="25">
        <v>51</v>
      </c>
      <c r="L548" s="25">
        <v>51</v>
      </c>
      <c r="M548" s="25"/>
      <c r="N548" s="25"/>
      <c r="O548" s="25"/>
      <c r="P548" s="25"/>
      <c r="Q548" s="25"/>
      <c r="R548" s="25"/>
      <c r="S548" s="26">
        <v>44975</v>
      </c>
      <c r="T548" s="35">
        <v>44999</v>
      </c>
      <c r="U548" s="25"/>
      <c r="V548" s="25"/>
      <c r="W548" s="25">
        <v>966704870</v>
      </c>
      <c r="X548" s="26" t="s">
        <v>2255</v>
      </c>
      <c r="Y548" s="42">
        <v>44999.524143518516</v>
      </c>
      <c r="Z548" s="25" t="s">
        <v>2256</v>
      </c>
      <c r="AA548" s="35"/>
      <c r="AB548" s="25"/>
      <c r="AC548" s="25" t="str">
        <f>TRIM(StudentScore[[#This Row],[Student Email]])</f>
        <v>anapat.chi@student.mahidol.ac.th</v>
      </c>
    </row>
    <row r="549" spans="1:29" ht="27">
      <c r="A549" s="15">
        <v>543</v>
      </c>
      <c r="B549" s="33">
        <f t="shared" si="28"/>
        <v>64</v>
      </c>
      <c r="C549" s="27">
        <f t="shared" si="29"/>
        <v>2024</v>
      </c>
      <c r="D549" s="54"/>
      <c r="E549" s="19">
        <v>6488009</v>
      </c>
      <c r="F549" s="20" t="s">
        <v>38</v>
      </c>
      <c r="G549" s="20" t="s">
        <v>2257</v>
      </c>
      <c r="H549" s="32" t="s">
        <v>2258</v>
      </c>
      <c r="I549" s="25" t="s">
        <v>41</v>
      </c>
      <c r="J549" s="25">
        <v>603</v>
      </c>
      <c r="K549" s="25">
        <v>64</v>
      </c>
      <c r="L549" s="25">
        <v>60</v>
      </c>
      <c r="M549" s="25">
        <v>57</v>
      </c>
      <c r="N549" s="25"/>
      <c r="O549" s="25"/>
      <c r="P549" s="25"/>
      <c r="Q549" s="25"/>
      <c r="R549" s="25"/>
      <c r="S549" s="35">
        <v>44347</v>
      </c>
      <c r="T549" s="51">
        <v>44409</v>
      </c>
      <c r="U549" s="25"/>
      <c r="V549" s="25"/>
      <c r="W549" s="25">
        <v>853486028</v>
      </c>
      <c r="X549" s="26" t="s">
        <v>2259</v>
      </c>
      <c r="Y549" s="25"/>
      <c r="Z549" s="25"/>
      <c r="AA549" s="35"/>
      <c r="AB549" s="25"/>
      <c r="AC549" s="25" t="str">
        <f>TRIM(StudentScore[[#This Row],[Student Email]])</f>
        <v>kanatip.bho@student.mahidol.ac.th</v>
      </c>
    </row>
    <row r="550" spans="1:29" ht="27">
      <c r="A550" s="15">
        <v>544</v>
      </c>
      <c r="B550" s="33">
        <f t="shared" si="28"/>
        <v>64</v>
      </c>
      <c r="C550" s="27">
        <f t="shared" si="29"/>
        <v>2024</v>
      </c>
      <c r="D550" s="54"/>
      <c r="E550" s="19">
        <v>6488011</v>
      </c>
      <c r="F550" s="20" t="s">
        <v>38</v>
      </c>
      <c r="G550" s="20" t="s">
        <v>2211</v>
      </c>
      <c r="H550" s="32" t="s">
        <v>2260</v>
      </c>
      <c r="I550" s="25" t="s">
        <v>41</v>
      </c>
      <c r="J550" s="25">
        <v>593</v>
      </c>
      <c r="K550" s="25">
        <v>64</v>
      </c>
      <c r="L550" s="25">
        <v>59</v>
      </c>
      <c r="M550" s="25">
        <v>55</v>
      </c>
      <c r="N550" s="25"/>
      <c r="O550" s="25"/>
      <c r="P550" s="25"/>
      <c r="Q550" s="25"/>
      <c r="R550" s="25"/>
      <c r="S550" s="35">
        <v>44347</v>
      </c>
      <c r="T550" s="51">
        <v>44378</v>
      </c>
      <c r="U550" s="25" t="s">
        <v>2261</v>
      </c>
      <c r="V550" s="25"/>
      <c r="W550" s="25">
        <v>637627539</v>
      </c>
      <c r="X550" s="26" t="s">
        <v>2262</v>
      </c>
      <c r="Y550" s="25"/>
      <c r="Z550" s="25"/>
      <c r="AA550" s="35"/>
      <c r="AB550" s="25"/>
      <c r="AC550" s="25" t="str">
        <f>TRIM(StudentScore[[#This Row],[Student Email]])</f>
        <v>tawan.chi@student.mahidol.ac.th</v>
      </c>
    </row>
    <row r="551" spans="1:29" ht="27">
      <c r="A551" s="15">
        <v>545</v>
      </c>
      <c r="B551" s="33">
        <f t="shared" si="28"/>
        <v>64</v>
      </c>
      <c r="C551" s="27">
        <f t="shared" si="29"/>
        <v>2024</v>
      </c>
      <c r="D551" s="54"/>
      <c r="E551" s="19">
        <v>6488012</v>
      </c>
      <c r="F551" s="20" t="s">
        <v>38</v>
      </c>
      <c r="G551" s="20" t="s">
        <v>2263</v>
      </c>
      <c r="H551" s="32" t="s">
        <v>2264</v>
      </c>
      <c r="I551" s="25" t="s">
        <v>64</v>
      </c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>
        <v>625488883</v>
      </c>
      <c r="X551" s="26" t="s">
        <v>2265</v>
      </c>
      <c r="Y551" s="25"/>
      <c r="Z551" s="25"/>
      <c r="AA551" s="35"/>
      <c r="AB551" s="25"/>
      <c r="AC551" s="25" t="str">
        <f>TRIM(StudentScore[[#This Row],[Student Email]])</f>
        <v>suwiboon.cha@student.mahidol.ac.th</v>
      </c>
    </row>
    <row r="552" spans="1:29" ht="27">
      <c r="A552" s="15">
        <v>546</v>
      </c>
      <c r="B552" s="33">
        <f t="shared" si="28"/>
        <v>64</v>
      </c>
      <c r="C552" s="27">
        <f t="shared" si="29"/>
        <v>2024</v>
      </c>
      <c r="D552" s="54"/>
      <c r="E552" s="19">
        <v>6488013</v>
      </c>
      <c r="F552" s="20" t="s">
        <v>117</v>
      </c>
      <c r="G552" s="20" t="s">
        <v>2266</v>
      </c>
      <c r="H552" s="32" t="s">
        <v>2267</v>
      </c>
      <c r="I552" s="25" t="s">
        <v>133</v>
      </c>
      <c r="J552" s="25">
        <v>90</v>
      </c>
      <c r="K552" s="25"/>
      <c r="L552" s="25"/>
      <c r="M552" s="25"/>
      <c r="N552" s="25"/>
      <c r="O552" s="25"/>
      <c r="P552" s="25"/>
      <c r="Q552" s="25"/>
      <c r="R552" s="25"/>
      <c r="S552" s="35">
        <v>44536</v>
      </c>
      <c r="T552" s="51">
        <v>44531</v>
      </c>
      <c r="U552" s="25"/>
      <c r="V552" s="25"/>
      <c r="W552" s="25">
        <v>971354105</v>
      </c>
      <c r="X552" s="26" t="s">
        <v>2268</v>
      </c>
      <c r="Y552" s="25"/>
      <c r="Z552" s="25"/>
      <c r="AA552" s="35"/>
      <c r="AB552" s="25"/>
      <c r="AC552" s="25" t="str">
        <f>TRIM(StudentScore[[#This Row],[Student Email]])</f>
        <v>praewsuphang.cha@student.mahidol.ac.th</v>
      </c>
    </row>
    <row r="553" spans="1:29" ht="27">
      <c r="A553" s="15">
        <v>547</v>
      </c>
      <c r="B553" s="33">
        <f t="shared" si="28"/>
        <v>64</v>
      </c>
      <c r="C553" s="27">
        <f t="shared" si="29"/>
        <v>2024</v>
      </c>
      <c r="D553" s="54"/>
      <c r="E553" s="19">
        <v>6488014</v>
      </c>
      <c r="F553" s="20" t="s">
        <v>117</v>
      </c>
      <c r="G553" s="20" t="s">
        <v>2269</v>
      </c>
      <c r="H553" s="32" t="s">
        <v>2270</v>
      </c>
      <c r="I553" s="25" t="s">
        <v>64</v>
      </c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>
        <v>982855404</v>
      </c>
      <c r="X553" s="26" t="s">
        <v>2271</v>
      </c>
      <c r="Y553" s="25"/>
      <c r="Z553" s="25"/>
      <c r="AA553" s="35"/>
      <c r="AB553" s="25"/>
      <c r="AC553" s="25" t="str">
        <f>TRIM(StudentScore[[#This Row],[Student Email]])</f>
        <v>yanisa.chr@student.mahidol.ac.th</v>
      </c>
    </row>
    <row r="554" spans="1:29" ht="27">
      <c r="A554" s="15">
        <v>548</v>
      </c>
      <c r="B554" s="33">
        <f t="shared" si="28"/>
        <v>64</v>
      </c>
      <c r="C554" s="27">
        <f t="shared" si="29"/>
        <v>2024</v>
      </c>
      <c r="D554" s="54"/>
      <c r="E554" s="19">
        <v>6488015</v>
      </c>
      <c r="F554" s="20" t="s">
        <v>38</v>
      </c>
      <c r="G554" s="20" t="s">
        <v>2272</v>
      </c>
      <c r="H554" s="32" t="s">
        <v>2273</v>
      </c>
      <c r="I554" s="25" t="s">
        <v>41</v>
      </c>
      <c r="J554" s="25">
        <v>560</v>
      </c>
      <c r="K554" s="25">
        <v>53</v>
      </c>
      <c r="L554" s="25">
        <v>58</v>
      </c>
      <c r="M554" s="25">
        <v>57</v>
      </c>
      <c r="N554" s="25"/>
      <c r="O554" s="25"/>
      <c r="P554" s="25"/>
      <c r="Q554" s="25"/>
      <c r="R554" s="25"/>
      <c r="S554" s="35">
        <v>44347</v>
      </c>
      <c r="T554" s="51">
        <v>44378</v>
      </c>
      <c r="U554" s="25"/>
      <c r="V554" s="25"/>
      <c r="W554" s="25">
        <v>948919191</v>
      </c>
      <c r="X554" s="26" t="s">
        <v>2274</v>
      </c>
      <c r="Y554" s="25"/>
      <c r="Z554" s="25"/>
      <c r="AA554" s="35"/>
      <c r="AB554" s="25"/>
      <c r="AC554" s="25" t="str">
        <f>TRIM(StudentScore[[#This Row],[Student Email]])</f>
        <v>chonchanok.cha@student.mahidol.ac.th</v>
      </c>
    </row>
    <row r="555" spans="1:29" ht="27">
      <c r="A555" s="15">
        <v>549</v>
      </c>
      <c r="B555" s="33">
        <f t="shared" si="28"/>
        <v>64</v>
      </c>
      <c r="C555" s="27">
        <f t="shared" si="29"/>
        <v>2024</v>
      </c>
      <c r="D555" s="54"/>
      <c r="E555" s="19">
        <v>6488016</v>
      </c>
      <c r="F555" s="20" t="s">
        <v>117</v>
      </c>
      <c r="G555" s="20" t="s">
        <v>2275</v>
      </c>
      <c r="H555" s="32" t="s">
        <v>2276</v>
      </c>
      <c r="I555" s="25" t="s">
        <v>244</v>
      </c>
      <c r="J555" s="25">
        <v>7</v>
      </c>
      <c r="K555" s="25">
        <v>7.5</v>
      </c>
      <c r="L555" s="25">
        <v>7</v>
      </c>
      <c r="M555" s="25">
        <v>6</v>
      </c>
      <c r="N555" s="25">
        <v>7</v>
      </c>
      <c r="O555" s="25"/>
      <c r="P555" s="25"/>
      <c r="Q555" s="25"/>
      <c r="R555" s="25"/>
      <c r="S555" s="35">
        <v>44142</v>
      </c>
      <c r="T555" s="51">
        <v>44378</v>
      </c>
      <c r="U555" s="25"/>
      <c r="V555" s="25"/>
      <c r="W555" s="25">
        <v>817127575</v>
      </c>
      <c r="X555" s="26" t="s">
        <v>2277</v>
      </c>
      <c r="Y555" s="25"/>
      <c r="Z555" s="25"/>
      <c r="AA555" s="35"/>
      <c r="AB555" s="25"/>
      <c r="AC555" s="25" t="str">
        <f>TRIM(StudentScore[[#This Row],[Student Email]])</f>
        <v>pimmat.cha@student.mahidol.ac.th</v>
      </c>
    </row>
    <row r="556" spans="1:29" ht="27">
      <c r="A556" s="15">
        <v>550</v>
      </c>
      <c r="B556" s="33">
        <f t="shared" si="28"/>
        <v>64</v>
      </c>
      <c r="C556" s="27">
        <f t="shared" si="29"/>
        <v>2024</v>
      </c>
      <c r="D556" s="54"/>
      <c r="E556" s="19">
        <v>6488017</v>
      </c>
      <c r="F556" s="20" t="s">
        <v>38</v>
      </c>
      <c r="G556" s="20" t="s">
        <v>2278</v>
      </c>
      <c r="H556" s="32" t="s">
        <v>2279</v>
      </c>
      <c r="I556" s="25" t="s">
        <v>64</v>
      </c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>
        <v>654916993</v>
      </c>
      <c r="X556" s="26" t="s">
        <v>2280</v>
      </c>
      <c r="Y556" s="25"/>
      <c r="Z556" s="25"/>
      <c r="AA556" s="35"/>
      <c r="AB556" s="25"/>
      <c r="AC556" s="25" t="str">
        <f>TRIM(StudentScore[[#This Row],[Student Email]])</f>
        <v>thanatip.cha@student.mahidol.ac.th</v>
      </c>
    </row>
    <row r="557" spans="1:29" ht="27">
      <c r="A557" s="15">
        <v>551</v>
      </c>
      <c r="B557" s="33">
        <f t="shared" si="28"/>
        <v>64</v>
      </c>
      <c r="C557" s="27">
        <f t="shared" si="29"/>
        <v>2024</v>
      </c>
      <c r="D557" s="54"/>
      <c r="E557" s="19">
        <v>6488018</v>
      </c>
      <c r="F557" s="20" t="s">
        <v>117</v>
      </c>
      <c r="G557" s="20" t="s">
        <v>122</v>
      </c>
      <c r="H557" s="32" t="s">
        <v>2281</v>
      </c>
      <c r="I557" s="25" t="s">
        <v>48</v>
      </c>
      <c r="J557" s="25">
        <v>685</v>
      </c>
      <c r="K557" s="25">
        <v>400</v>
      </c>
      <c r="L557" s="25">
        <v>285</v>
      </c>
      <c r="M557" s="25"/>
      <c r="N557" s="25"/>
      <c r="O557" s="25"/>
      <c r="P557" s="25"/>
      <c r="Q557" s="25"/>
      <c r="R557" s="25"/>
      <c r="S557" s="35">
        <v>44258</v>
      </c>
      <c r="T557" s="51">
        <v>44378</v>
      </c>
      <c r="U557" s="25"/>
      <c r="V557" s="25"/>
      <c r="W557" s="25">
        <v>866021559</v>
      </c>
      <c r="X557" s="26" t="s">
        <v>2282</v>
      </c>
      <c r="Y557" s="25"/>
      <c r="Z557" s="25"/>
      <c r="AA557" s="35"/>
      <c r="AB557" s="25"/>
      <c r="AC557" s="25" t="str">
        <f>TRIM(StudentScore[[#This Row],[Student Email]])</f>
        <v>ramita.dee@student.mahidol.ac.th</v>
      </c>
    </row>
    <row r="558" spans="1:29" ht="27">
      <c r="A558" s="15">
        <v>552</v>
      </c>
      <c r="B558" s="33">
        <f t="shared" si="28"/>
        <v>64</v>
      </c>
      <c r="C558" s="27">
        <f t="shared" si="29"/>
        <v>2024</v>
      </c>
      <c r="D558" s="54"/>
      <c r="E558" s="19">
        <v>6488019</v>
      </c>
      <c r="F558" s="20" t="s">
        <v>38</v>
      </c>
      <c r="G558" s="20" t="s">
        <v>2283</v>
      </c>
      <c r="H558" s="32" t="s">
        <v>2284</v>
      </c>
      <c r="I558" s="25" t="s">
        <v>64</v>
      </c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>
        <v>918148575</v>
      </c>
      <c r="X558" s="26" t="s">
        <v>2285</v>
      </c>
      <c r="Y558" s="25"/>
      <c r="Z558" s="25"/>
      <c r="AA558" s="35"/>
      <c r="AB558" s="25"/>
      <c r="AC558" s="25" t="str">
        <f>TRIM(StudentScore[[#This Row],[Student Email]])</f>
        <v>phaloch.cho@student.mahidol.ac.th</v>
      </c>
    </row>
    <row r="559" spans="1:29" ht="27">
      <c r="A559" s="15">
        <v>553</v>
      </c>
      <c r="B559" s="33">
        <f t="shared" si="28"/>
        <v>64</v>
      </c>
      <c r="C559" s="27">
        <f t="shared" si="29"/>
        <v>2024</v>
      </c>
      <c r="D559" s="54"/>
      <c r="E559" s="19">
        <v>6488020</v>
      </c>
      <c r="F559" s="20" t="s">
        <v>117</v>
      </c>
      <c r="G559" s="20" t="s">
        <v>2286</v>
      </c>
      <c r="H559" s="32" t="s">
        <v>2287</v>
      </c>
      <c r="I559" s="25" t="s">
        <v>124</v>
      </c>
      <c r="J559" s="25">
        <v>6.5</v>
      </c>
      <c r="K559" s="25">
        <v>7</v>
      </c>
      <c r="L559" s="25">
        <v>5</v>
      </c>
      <c r="M559" s="25">
        <v>6</v>
      </c>
      <c r="N559" s="25">
        <v>7</v>
      </c>
      <c r="O559" s="25"/>
      <c r="P559" s="25"/>
      <c r="Q559" s="25"/>
      <c r="R559" s="25"/>
      <c r="S559" s="35">
        <v>44100</v>
      </c>
      <c r="T559" s="51">
        <v>44378</v>
      </c>
      <c r="U559" s="25"/>
      <c r="V559" s="25"/>
      <c r="W559" s="25">
        <v>982618964</v>
      </c>
      <c r="X559" s="26" t="s">
        <v>2288</v>
      </c>
      <c r="Y559" s="25"/>
      <c r="Z559" s="25"/>
      <c r="AA559" s="35"/>
      <c r="AB559" s="25"/>
      <c r="AC559" s="25" t="str">
        <f>TRIM(StudentScore[[#This Row],[Student Email]])</f>
        <v>navaluck.duw@student.mahidol.ac.th</v>
      </c>
    </row>
    <row r="560" spans="1:29" ht="27">
      <c r="A560" s="15">
        <v>554</v>
      </c>
      <c r="B560" s="33">
        <f t="shared" si="28"/>
        <v>64</v>
      </c>
      <c r="C560" s="27">
        <f t="shared" si="29"/>
        <v>2024</v>
      </c>
      <c r="D560" s="54"/>
      <c r="E560" s="19">
        <v>6488021</v>
      </c>
      <c r="F560" s="20" t="s">
        <v>117</v>
      </c>
      <c r="G560" s="20" t="s">
        <v>2289</v>
      </c>
      <c r="H560" s="32" t="s">
        <v>2290</v>
      </c>
      <c r="I560" s="25" t="s">
        <v>41</v>
      </c>
      <c r="J560" s="25">
        <v>590</v>
      </c>
      <c r="K560" s="25">
        <v>64</v>
      </c>
      <c r="L560" s="25">
        <v>57</v>
      </c>
      <c r="M560" s="25">
        <v>56</v>
      </c>
      <c r="N560" s="25"/>
      <c r="O560" s="25"/>
      <c r="P560" s="25"/>
      <c r="Q560" s="25"/>
      <c r="R560" s="25"/>
      <c r="S560" s="35">
        <v>44347</v>
      </c>
      <c r="T560" s="51">
        <v>44378</v>
      </c>
      <c r="U560" s="25"/>
      <c r="V560" s="25"/>
      <c r="W560" s="25">
        <v>894520099</v>
      </c>
      <c r="X560" s="26" t="s">
        <v>2291</v>
      </c>
      <c r="Y560" s="25"/>
      <c r="Z560" s="25"/>
      <c r="AA560" s="35"/>
      <c r="AB560" s="25"/>
      <c r="AC560" s="25" t="str">
        <f>TRIM(StudentScore[[#This Row],[Student Email]])</f>
        <v>russarin.eai@student.mahidol.ac.th</v>
      </c>
    </row>
    <row r="561" spans="1:29" ht="27">
      <c r="A561" s="15">
        <v>555</v>
      </c>
      <c r="B561" s="33">
        <f t="shared" ref="B561:B624" si="30">VALUE(LEFT(E561,2))</f>
        <v>64</v>
      </c>
      <c r="C561" s="27">
        <f t="shared" ref="C561:C624" si="31">VALUE("25"&amp;B561)-543+3</f>
        <v>2024</v>
      </c>
      <c r="D561" s="54"/>
      <c r="E561" s="19">
        <v>6488022</v>
      </c>
      <c r="F561" s="20" t="s">
        <v>38</v>
      </c>
      <c r="G561" s="20" t="s">
        <v>2244</v>
      </c>
      <c r="H561" s="32" t="s">
        <v>2292</v>
      </c>
      <c r="I561" s="25" t="s">
        <v>64</v>
      </c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>
        <v>922481541</v>
      </c>
      <c r="X561" s="26" t="s">
        <v>2293</v>
      </c>
      <c r="Y561" s="25"/>
      <c r="Z561" s="25"/>
      <c r="AA561" s="35"/>
      <c r="AB561" s="25"/>
      <c r="AC561" s="25" t="str">
        <f>TRIM(StudentScore[[#This Row],[Student Email]])</f>
        <v>sirawich.eam@student.mahidol.ac.th</v>
      </c>
    </row>
    <row r="562" spans="1:29" ht="27">
      <c r="A562" s="15">
        <v>556</v>
      </c>
      <c r="B562" s="33">
        <f t="shared" si="30"/>
        <v>64</v>
      </c>
      <c r="C562" s="27">
        <f t="shared" si="31"/>
        <v>2024</v>
      </c>
      <c r="D562" s="54"/>
      <c r="E562" s="19">
        <v>6488023</v>
      </c>
      <c r="F562" s="20" t="s">
        <v>38</v>
      </c>
      <c r="G562" s="20" t="s">
        <v>2294</v>
      </c>
      <c r="H562" s="32" t="s">
        <v>2295</v>
      </c>
      <c r="I562" s="25" t="s">
        <v>64</v>
      </c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>
        <v>892003088</v>
      </c>
      <c r="X562" s="26" t="s">
        <v>2296</v>
      </c>
      <c r="Y562" s="25"/>
      <c r="Z562" s="25"/>
      <c r="AA562" s="35"/>
      <c r="AB562" s="25"/>
      <c r="AC562" s="25" t="str">
        <f>TRIM(StudentScore[[#This Row],[Student Email]])</f>
        <v>tharich.hae@student.mahidol.ac.th</v>
      </c>
    </row>
    <row r="563" spans="1:29" ht="27">
      <c r="A563" s="15">
        <v>557</v>
      </c>
      <c r="B563" s="33">
        <f t="shared" si="30"/>
        <v>64</v>
      </c>
      <c r="C563" s="27">
        <f t="shared" si="31"/>
        <v>2024</v>
      </c>
      <c r="D563" s="54"/>
      <c r="E563" s="19">
        <v>6488024</v>
      </c>
      <c r="F563" s="20" t="s">
        <v>38</v>
      </c>
      <c r="G563" s="20" t="s">
        <v>2297</v>
      </c>
      <c r="H563" s="32" t="s">
        <v>2298</v>
      </c>
      <c r="I563" s="25" t="s">
        <v>64</v>
      </c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>
        <v>806565672</v>
      </c>
      <c r="X563" s="26" t="s">
        <v>2299</v>
      </c>
      <c r="Y563" s="25"/>
      <c r="Z563" s="25"/>
      <c r="AA563" s="35"/>
      <c r="AB563" s="25"/>
      <c r="AC563" s="25" t="str">
        <f>TRIM(StudentScore[[#This Row],[Student Email]])</f>
        <v>patcharapon.hat@student.mahidol.ac.th</v>
      </c>
    </row>
    <row r="564" spans="1:29" ht="27">
      <c r="A564" s="15">
        <v>558</v>
      </c>
      <c r="B564" s="33">
        <f t="shared" si="30"/>
        <v>64</v>
      </c>
      <c r="C564" s="27">
        <f t="shared" si="31"/>
        <v>2024</v>
      </c>
      <c r="D564" s="54"/>
      <c r="E564" s="19">
        <v>6488025</v>
      </c>
      <c r="F564" s="20" t="s">
        <v>38</v>
      </c>
      <c r="G564" s="20" t="s">
        <v>2300</v>
      </c>
      <c r="H564" s="32" t="s">
        <v>2301</v>
      </c>
      <c r="I564" s="25" t="s">
        <v>41</v>
      </c>
      <c r="J564" s="25">
        <v>563</v>
      </c>
      <c r="K564" s="25">
        <v>62</v>
      </c>
      <c r="L564" s="25">
        <v>53</v>
      </c>
      <c r="M564" s="25">
        <v>54</v>
      </c>
      <c r="N564" s="25"/>
      <c r="O564" s="25"/>
      <c r="P564" s="25"/>
      <c r="Q564" s="25"/>
      <c r="R564" s="25"/>
      <c r="S564" s="35">
        <v>44347</v>
      </c>
      <c r="T564" s="51">
        <v>44378</v>
      </c>
      <c r="U564" s="25" t="s">
        <v>2261</v>
      </c>
      <c r="V564" s="25"/>
      <c r="W564" s="25">
        <v>852254273</v>
      </c>
      <c r="X564" s="26" t="s">
        <v>2302</v>
      </c>
      <c r="Y564" s="25"/>
      <c r="Z564" s="25"/>
      <c r="AA564" s="35"/>
      <c r="AB564" s="25"/>
      <c r="AC564" s="25" t="str">
        <f>TRIM(StudentScore[[#This Row],[Student Email]])</f>
        <v>thitiwut.har@student.mahidol.ac.th</v>
      </c>
    </row>
    <row r="565" spans="1:29" ht="27">
      <c r="A565" s="15">
        <v>559</v>
      </c>
      <c r="B565" s="33">
        <f t="shared" si="30"/>
        <v>64</v>
      </c>
      <c r="C565" s="27">
        <f t="shared" si="31"/>
        <v>2024</v>
      </c>
      <c r="D565" s="54"/>
      <c r="E565" s="19">
        <v>6488026</v>
      </c>
      <c r="F565" s="20" t="s">
        <v>38</v>
      </c>
      <c r="G565" s="20" t="s">
        <v>2303</v>
      </c>
      <c r="H565" s="32" t="s">
        <v>2304</v>
      </c>
      <c r="I565" s="25" t="s">
        <v>41</v>
      </c>
      <c r="J565" s="25">
        <v>593</v>
      </c>
      <c r="K565" s="25">
        <v>59</v>
      </c>
      <c r="L565" s="25">
        <v>59</v>
      </c>
      <c r="M565" s="25">
        <v>60</v>
      </c>
      <c r="N565" s="25"/>
      <c r="O565" s="25"/>
      <c r="P565" s="25"/>
      <c r="Q565" s="25"/>
      <c r="R565" s="25"/>
      <c r="S565" s="35">
        <v>44347</v>
      </c>
      <c r="T565" s="51">
        <v>44378</v>
      </c>
      <c r="U565" s="25" t="s">
        <v>2261</v>
      </c>
      <c r="V565" s="25"/>
      <c r="W565" s="25">
        <v>802394151</v>
      </c>
      <c r="X565" s="26" t="s">
        <v>2305</v>
      </c>
      <c r="Y565" s="25"/>
      <c r="Z565" s="25"/>
      <c r="AA565" s="35"/>
      <c r="AB565" s="25"/>
      <c r="AC565" s="25" t="str">
        <f>TRIM(StudentScore[[#This Row],[Student Email]])</f>
        <v>netithorn.ina@student.mahidol.ac.th</v>
      </c>
    </row>
    <row r="566" spans="1:29" ht="27">
      <c r="A566" s="15">
        <v>560</v>
      </c>
      <c r="B566" s="33">
        <f t="shared" si="30"/>
        <v>64</v>
      </c>
      <c r="C566" s="27">
        <f t="shared" si="31"/>
        <v>2024</v>
      </c>
      <c r="D566" s="54"/>
      <c r="E566" s="19">
        <v>6488027</v>
      </c>
      <c r="F566" s="20" t="s">
        <v>38</v>
      </c>
      <c r="G566" s="20" t="s">
        <v>2306</v>
      </c>
      <c r="H566" s="32" t="s">
        <v>2307</v>
      </c>
      <c r="I566" s="25" t="s">
        <v>124</v>
      </c>
      <c r="J566" s="25">
        <v>5.5</v>
      </c>
      <c r="K566" s="25"/>
      <c r="L566" s="25"/>
      <c r="M566" s="25"/>
      <c r="N566" s="25"/>
      <c r="O566" s="25"/>
      <c r="P566" s="25"/>
      <c r="Q566" s="25"/>
      <c r="R566" s="25"/>
      <c r="S566" s="35">
        <v>44092</v>
      </c>
      <c r="T566" s="35">
        <v>44945</v>
      </c>
      <c r="U566" s="25"/>
      <c r="V566" s="25"/>
      <c r="W566" s="25">
        <v>651213522</v>
      </c>
      <c r="X566" s="26" t="s">
        <v>2308</v>
      </c>
      <c r="Y566" s="25"/>
      <c r="Z566" s="25"/>
      <c r="AA566" s="35"/>
      <c r="AB566" s="25"/>
      <c r="AC566" s="25" t="str">
        <f>TRIM(StudentScore[[#This Row],[Student Email]])</f>
        <v>phonlaphat.int@student.mahidol.ac.th</v>
      </c>
    </row>
    <row r="567" spans="1:29" ht="27">
      <c r="A567" s="15">
        <v>561</v>
      </c>
      <c r="B567" s="33">
        <f t="shared" si="30"/>
        <v>64</v>
      </c>
      <c r="C567" s="27">
        <f t="shared" si="31"/>
        <v>2024</v>
      </c>
      <c r="D567" s="54"/>
      <c r="E567" s="19">
        <v>6488028</v>
      </c>
      <c r="F567" s="20" t="s">
        <v>38</v>
      </c>
      <c r="G567" s="20" t="s">
        <v>2309</v>
      </c>
      <c r="H567" s="32" t="s">
        <v>2310</v>
      </c>
      <c r="I567" s="25" t="s">
        <v>64</v>
      </c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>
        <v>863435747</v>
      </c>
      <c r="X567" s="26" t="s">
        <v>2311</v>
      </c>
      <c r="Y567" s="25"/>
      <c r="Z567" s="25"/>
      <c r="AA567" s="35"/>
      <c r="AB567" s="25"/>
      <c r="AC567" s="25" t="str">
        <f>TRIM(StudentScore[[#This Row],[Student Email]])</f>
        <v>phassapol.hir@student.mahidol.ac.th</v>
      </c>
    </row>
    <row r="568" spans="1:29" ht="27">
      <c r="A568" s="15">
        <v>562</v>
      </c>
      <c r="B568" s="33">
        <f t="shared" si="30"/>
        <v>64</v>
      </c>
      <c r="C568" s="27">
        <f t="shared" si="31"/>
        <v>2024</v>
      </c>
      <c r="D568" s="54"/>
      <c r="E568" s="19">
        <v>6488029</v>
      </c>
      <c r="F568" s="20" t="s">
        <v>117</v>
      </c>
      <c r="G568" s="20" t="s">
        <v>2312</v>
      </c>
      <c r="H568" s="32" t="s">
        <v>2313</v>
      </c>
      <c r="I568" s="25" t="s">
        <v>64</v>
      </c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>
        <v>946933883</v>
      </c>
      <c r="X568" s="26" t="s">
        <v>2314</v>
      </c>
      <c r="Y568" s="25"/>
      <c r="Z568" s="25"/>
      <c r="AA568" s="35"/>
      <c r="AB568" s="25"/>
      <c r="AC568" s="25" t="str">
        <f>TRIM(StudentScore[[#This Row],[Student Email]])</f>
        <v>chanikarn.jon@student.mahidol.ac.th</v>
      </c>
    </row>
    <row r="569" spans="1:29" ht="27">
      <c r="A569" s="15">
        <v>563</v>
      </c>
      <c r="B569" s="33">
        <f t="shared" si="30"/>
        <v>64</v>
      </c>
      <c r="C569" s="27">
        <f t="shared" si="31"/>
        <v>2024</v>
      </c>
      <c r="D569" s="54"/>
      <c r="E569" s="19">
        <v>6488030</v>
      </c>
      <c r="F569" s="20" t="s">
        <v>117</v>
      </c>
      <c r="G569" s="20" t="s">
        <v>2315</v>
      </c>
      <c r="H569" s="32" t="s">
        <v>2316</v>
      </c>
      <c r="I569" s="25" t="s">
        <v>48</v>
      </c>
      <c r="J569" s="25">
        <v>680</v>
      </c>
      <c r="K569" s="25">
        <v>330</v>
      </c>
      <c r="L569" s="25">
        <v>350</v>
      </c>
      <c r="M569" s="25"/>
      <c r="N569" s="25"/>
      <c r="O569" s="25"/>
      <c r="P569" s="25"/>
      <c r="Q569" s="25"/>
      <c r="R569" s="25"/>
      <c r="S569" s="26">
        <v>44965</v>
      </c>
      <c r="T569" s="35">
        <v>44978</v>
      </c>
      <c r="U569" s="25"/>
      <c r="V569" s="25" t="s">
        <v>1</v>
      </c>
      <c r="W569" s="25">
        <v>960724606</v>
      </c>
      <c r="X569" s="26" t="s">
        <v>2317</v>
      </c>
      <c r="Y569" s="42">
        <v>44978.464363425926</v>
      </c>
      <c r="Z569" s="25" t="s">
        <v>2318</v>
      </c>
      <c r="AA569" s="35"/>
      <c r="AB569" s="25"/>
      <c r="AC569" s="25" t="str">
        <f>TRIM(StudentScore[[#This Row],[Student Email]])</f>
        <v>sushawapak.kan@student.mahidol.ac.th</v>
      </c>
    </row>
    <row r="570" spans="1:29" ht="27">
      <c r="A570" s="15">
        <v>564</v>
      </c>
      <c r="B570" s="33">
        <f t="shared" si="30"/>
        <v>64</v>
      </c>
      <c r="C570" s="27">
        <f t="shared" si="31"/>
        <v>2024</v>
      </c>
      <c r="D570" s="54"/>
      <c r="E570" s="19">
        <v>6488031</v>
      </c>
      <c r="F570" s="20" t="s">
        <v>38</v>
      </c>
      <c r="G570" s="20" t="s">
        <v>2319</v>
      </c>
      <c r="H570" s="32" t="s">
        <v>2320</v>
      </c>
      <c r="I570" s="25" t="s">
        <v>64</v>
      </c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>
        <v>818082092</v>
      </c>
      <c r="X570" s="26" t="s">
        <v>2321</v>
      </c>
      <c r="Y570" s="25"/>
      <c r="Z570" s="25"/>
      <c r="AA570" s="35"/>
      <c r="AB570" s="25"/>
      <c r="AC570" s="25" t="str">
        <f>TRIM(StudentScore[[#This Row],[Student Email]])</f>
        <v>pkin.kar@student.mahidol.ac.th</v>
      </c>
    </row>
    <row r="571" spans="1:29" ht="27">
      <c r="A571" s="15">
        <v>565</v>
      </c>
      <c r="B571" s="33">
        <f t="shared" si="30"/>
        <v>64</v>
      </c>
      <c r="C571" s="27">
        <f t="shared" si="31"/>
        <v>2024</v>
      </c>
      <c r="D571" s="54"/>
      <c r="E571" s="19">
        <v>6488032</v>
      </c>
      <c r="F571" s="20" t="s">
        <v>38</v>
      </c>
      <c r="G571" s="20" t="s">
        <v>2322</v>
      </c>
      <c r="H571" s="32" t="s">
        <v>2323</v>
      </c>
      <c r="I571" s="25" t="s">
        <v>64</v>
      </c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>
        <v>804207977</v>
      </c>
      <c r="X571" s="26" t="s">
        <v>2324</v>
      </c>
      <c r="Y571" s="25"/>
      <c r="Z571" s="25"/>
      <c r="AA571" s="35"/>
      <c r="AB571" s="25"/>
      <c r="AC571" s="25" t="str">
        <f>TRIM(StudentScore[[#This Row],[Student Email]])</f>
        <v>khuboon.hom@student.mahidol.ac.th</v>
      </c>
    </row>
    <row r="572" spans="1:29" ht="27">
      <c r="A572" s="15">
        <v>566</v>
      </c>
      <c r="B572" s="33">
        <f t="shared" si="30"/>
        <v>64</v>
      </c>
      <c r="C572" s="27">
        <f t="shared" si="31"/>
        <v>2024</v>
      </c>
      <c r="D572" s="54"/>
      <c r="E572" s="19">
        <v>6488033</v>
      </c>
      <c r="F572" s="20" t="s">
        <v>38</v>
      </c>
      <c r="G572" s="20" t="s">
        <v>2325</v>
      </c>
      <c r="H572" s="32" t="s">
        <v>2326</v>
      </c>
      <c r="I572" s="25" t="s">
        <v>64</v>
      </c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>
        <v>632147788</v>
      </c>
      <c r="X572" s="26" t="s">
        <v>2327</v>
      </c>
      <c r="Y572" s="25"/>
      <c r="Z572" s="25"/>
      <c r="AA572" s="35"/>
      <c r="AB572" s="25"/>
      <c r="AC572" s="25" t="str">
        <f>TRIM(StudentScore[[#This Row],[Student Email]])</f>
        <v>ponwised.kit@student.mahidol.ac.th</v>
      </c>
    </row>
    <row r="573" spans="1:29" ht="27">
      <c r="A573" s="15">
        <v>567</v>
      </c>
      <c r="B573" s="33">
        <f t="shared" si="30"/>
        <v>64</v>
      </c>
      <c r="C573" s="27">
        <f t="shared" si="31"/>
        <v>2024</v>
      </c>
      <c r="D573" s="54"/>
      <c r="E573" s="19">
        <v>6488034</v>
      </c>
      <c r="F573" s="20" t="s">
        <v>38</v>
      </c>
      <c r="G573" s="20" t="s">
        <v>1312</v>
      </c>
      <c r="H573" s="32" t="s">
        <v>2328</v>
      </c>
      <c r="I573" s="25" t="s">
        <v>244</v>
      </c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>
        <v>923904866</v>
      </c>
      <c r="X573" s="26" t="s">
        <v>2329</v>
      </c>
      <c r="Y573" s="25"/>
      <c r="Z573" s="25"/>
      <c r="AA573" s="35"/>
      <c r="AB573" s="25"/>
      <c r="AC573" s="25" t="str">
        <f>TRIM(StudentScore[[#This Row],[Student Email]])</f>
        <v>nattapat.klo@student.mahidol.ac.th</v>
      </c>
    </row>
    <row r="574" spans="1:29" ht="27">
      <c r="A574" s="15">
        <v>568</v>
      </c>
      <c r="B574" s="33">
        <f t="shared" si="30"/>
        <v>64</v>
      </c>
      <c r="C574" s="27">
        <f t="shared" si="31"/>
        <v>2024</v>
      </c>
      <c r="D574" s="54"/>
      <c r="E574" s="19">
        <v>6488035</v>
      </c>
      <c r="F574" s="20" t="s">
        <v>38</v>
      </c>
      <c r="G574" s="20" t="s">
        <v>2330</v>
      </c>
      <c r="H574" s="32" t="s">
        <v>2331</v>
      </c>
      <c r="I574" s="25" t="s">
        <v>64</v>
      </c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>
        <v>968834953</v>
      </c>
      <c r="X574" s="26" t="s">
        <v>2332</v>
      </c>
      <c r="Y574" s="25"/>
      <c r="Z574" s="25"/>
      <c r="AA574" s="35"/>
      <c r="AB574" s="25"/>
      <c r="AC574" s="25" t="str">
        <f>TRIM(StudentScore[[#This Row],[Student Email]])</f>
        <v>teerut.kra@student.mahidol.ac.th</v>
      </c>
    </row>
    <row r="575" spans="1:29" ht="27">
      <c r="A575" s="15">
        <v>569</v>
      </c>
      <c r="B575" s="33">
        <f t="shared" si="30"/>
        <v>64</v>
      </c>
      <c r="C575" s="27">
        <f t="shared" si="31"/>
        <v>2024</v>
      </c>
      <c r="D575" s="54"/>
      <c r="E575" s="19">
        <v>6488036</v>
      </c>
      <c r="F575" s="20" t="s">
        <v>38</v>
      </c>
      <c r="G575" s="20" t="s">
        <v>2333</v>
      </c>
      <c r="H575" s="32" t="s">
        <v>2334</v>
      </c>
      <c r="I575" s="25" t="s">
        <v>41</v>
      </c>
      <c r="J575" s="25">
        <v>537</v>
      </c>
      <c r="K575" s="25">
        <v>57</v>
      </c>
      <c r="L575" s="25"/>
      <c r="M575" s="25">
        <v>55</v>
      </c>
      <c r="N575" s="25">
        <v>49</v>
      </c>
      <c r="O575" s="25"/>
      <c r="P575" s="25"/>
      <c r="Q575" s="25"/>
      <c r="R575" s="25"/>
      <c r="S575" s="26">
        <v>44673</v>
      </c>
      <c r="T575" s="35">
        <v>44935</v>
      </c>
      <c r="U575" s="25" t="s">
        <v>84</v>
      </c>
      <c r="V575" s="25"/>
      <c r="W575" s="25">
        <v>948635550</v>
      </c>
      <c r="X575" s="26" t="s">
        <v>2335</v>
      </c>
      <c r="Y575" s="42">
        <v>44935.392881944441</v>
      </c>
      <c r="Z575" s="25" t="s">
        <v>2336</v>
      </c>
      <c r="AA575" s="35"/>
      <c r="AB575" s="25"/>
      <c r="AC575" s="25" t="str">
        <f>TRIM(StudentScore[[#This Row],[Student Email]])</f>
        <v>krittin.kum@student.mahidol.ac.th</v>
      </c>
    </row>
    <row r="576" spans="1:29" ht="27">
      <c r="A576" s="15">
        <v>570</v>
      </c>
      <c r="B576" s="33">
        <f t="shared" si="30"/>
        <v>64</v>
      </c>
      <c r="C576" s="27">
        <f t="shared" si="31"/>
        <v>2024</v>
      </c>
      <c r="D576" s="54"/>
      <c r="E576" s="19">
        <v>6488037</v>
      </c>
      <c r="F576" s="20" t="s">
        <v>38</v>
      </c>
      <c r="G576" s="20" t="s">
        <v>2337</v>
      </c>
      <c r="H576" s="32" t="s">
        <v>2338</v>
      </c>
      <c r="I576" s="25" t="s">
        <v>41</v>
      </c>
      <c r="J576" s="25">
        <v>540</v>
      </c>
      <c r="K576" s="25">
        <v>56</v>
      </c>
      <c r="L576" s="25">
        <v>53</v>
      </c>
      <c r="M576" s="25">
        <v>51</v>
      </c>
      <c r="N576" s="25"/>
      <c r="O576" s="25"/>
      <c r="P576" s="25"/>
      <c r="Q576" s="25"/>
      <c r="R576" s="25"/>
      <c r="S576" s="35">
        <v>44347</v>
      </c>
      <c r="T576" s="51">
        <v>44378</v>
      </c>
      <c r="U576" s="25"/>
      <c r="V576" s="25"/>
      <c r="W576" s="25">
        <v>897474515</v>
      </c>
      <c r="X576" s="26" t="s">
        <v>2339</v>
      </c>
      <c r="Y576" s="25"/>
      <c r="Z576" s="25"/>
      <c r="AA576" s="35"/>
      <c r="AB576" s="25"/>
      <c r="AC576" s="25" t="str">
        <f>TRIM(StudentScore[[#This Row],[Student Email]])</f>
        <v>sittiphon.ler@student.mahidol.ac.th</v>
      </c>
    </row>
    <row r="577" spans="1:29" ht="27">
      <c r="A577" s="15">
        <v>571</v>
      </c>
      <c r="B577" s="33">
        <f t="shared" si="30"/>
        <v>64</v>
      </c>
      <c r="C577" s="27">
        <f t="shared" si="31"/>
        <v>2024</v>
      </c>
      <c r="D577" s="54"/>
      <c r="E577" s="19">
        <v>6488038</v>
      </c>
      <c r="F577" s="20" t="s">
        <v>117</v>
      </c>
      <c r="G577" s="20" t="s">
        <v>2340</v>
      </c>
      <c r="H577" s="32" t="s">
        <v>2341</v>
      </c>
      <c r="I577" s="25" t="s">
        <v>102</v>
      </c>
      <c r="J577" s="25">
        <v>86</v>
      </c>
      <c r="K577" s="25"/>
      <c r="L577" s="25"/>
      <c r="M577" s="25"/>
      <c r="N577" s="25"/>
      <c r="O577" s="25"/>
      <c r="P577" s="25"/>
      <c r="Q577" s="25"/>
      <c r="R577" s="25"/>
      <c r="S577" s="35">
        <v>45021</v>
      </c>
      <c r="T577" s="35">
        <v>45034</v>
      </c>
      <c r="U577" s="25"/>
      <c r="V577" s="25"/>
      <c r="W577" s="25">
        <v>923133223</v>
      </c>
      <c r="X577" s="26" t="s">
        <v>2342</v>
      </c>
      <c r="Y577" s="25"/>
      <c r="Z577" s="25"/>
      <c r="AA577" s="35"/>
      <c r="AB577" s="25"/>
      <c r="AC577" s="25" t="str">
        <f>TRIM(StudentScore[[#This Row],[Student Email]])</f>
        <v>kanyavee.lik@student.mahidol.ac.th</v>
      </c>
    </row>
    <row r="578" spans="1:29" ht="27">
      <c r="A578" s="15">
        <v>572</v>
      </c>
      <c r="B578" s="33">
        <f t="shared" si="30"/>
        <v>64</v>
      </c>
      <c r="C578" s="27">
        <f t="shared" si="31"/>
        <v>2024</v>
      </c>
      <c r="D578" s="54"/>
      <c r="E578" s="19">
        <v>6488039</v>
      </c>
      <c r="F578" s="20" t="s">
        <v>117</v>
      </c>
      <c r="G578" s="20" t="s">
        <v>2343</v>
      </c>
      <c r="H578" s="32" t="s">
        <v>2344</v>
      </c>
      <c r="I578" s="25" t="s">
        <v>244</v>
      </c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>
        <v>871272087</v>
      </c>
      <c r="X578" s="26" t="s">
        <v>2345</v>
      </c>
      <c r="Y578" s="25"/>
      <c r="Z578" s="25"/>
      <c r="AA578" s="35"/>
      <c r="AB578" s="25"/>
      <c r="AC578" s="25" t="str">
        <f>TRIM(StudentScore[[#This Row],[Student Email]])</f>
        <v>kakanamporn.int@student.mahidol.ac.th</v>
      </c>
    </row>
    <row r="579" spans="1:29" ht="27">
      <c r="A579" s="15">
        <v>573</v>
      </c>
      <c r="B579" s="33">
        <f t="shared" si="30"/>
        <v>64</v>
      </c>
      <c r="C579" s="27">
        <f t="shared" si="31"/>
        <v>2024</v>
      </c>
      <c r="D579" s="54"/>
      <c r="E579" s="19">
        <v>6488040</v>
      </c>
      <c r="F579" s="20" t="s">
        <v>38</v>
      </c>
      <c r="G579" s="20" t="s">
        <v>2346</v>
      </c>
      <c r="H579" s="32" t="s">
        <v>2347</v>
      </c>
      <c r="I579" s="25" t="s">
        <v>64</v>
      </c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>
        <v>922709972</v>
      </c>
      <c r="X579" s="26" t="s">
        <v>2348</v>
      </c>
      <c r="Y579" s="25"/>
      <c r="Z579" s="25"/>
      <c r="AA579" s="35"/>
      <c r="AB579" s="25"/>
      <c r="AC579" s="25" t="str">
        <f>TRIM(StudentScore[[#This Row],[Student Email]])</f>
        <v>alongkorn.jap@student.mahidol.ac.th</v>
      </c>
    </row>
    <row r="580" spans="1:29" ht="27">
      <c r="A580" s="15">
        <v>574</v>
      </c>
      <c r="B580" s="33">
        <f t="shared" si="30"/>
        <v>64</v>
      </c>
      <c r="C580" s="27">
        <f t="shared" si="31"/>
        <v>2024</v>
      </c>
      <c r="D580" s="54"/>
      <c r="E580" s="19">
        <v>6488041</v>
      </c>
      <c r="F580" s="20" t="s">
        <v>38</v>
      </c>
      <c r="G580" s="20" t="s">
        <v>2349</v>
      </c>
      <c r="H580" s="32" t="s">
        <v>2350</v>
      </c>
      <c r="I580" s="25" t="s">
        <v>64</v>
      </c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>
        <v>818968968</v>
      </c>
      <c r="X580" s="26" t="s">
        <v>2351</v>
      </c>
      <c r="Y580" s="25"/>
      <c r="Z580" s="25"/>
      <c r="AA580" s="35"/>
      <c r="AB580" s="25"/>
      <c r="AC580" s="25" t="str">
        <f>TRIM(StudentScore[[#This Row],[Student Email]])</f>
        <v>khasidech.jiw@student.mahidol.ac.th</v>
      </c>
    </row>
    <row r="581" spans="1:29" ht="27">
      <c r="A581" s="15">
        <v>575</v>
      </c>
      <c r="B581" s="33">
        <f t="shared" si="30"/>
        <v>64</v>
      </c>
      <c r="C581" s="27">
        <f t="shared" si="31"/>
        <v>2024</v>
      </c>
      <c r="D581" s="54"/>
      <c r="E581" s="19">
        <v>6488042</v>
      </c>
      <c r="F581" s="20" t="s">
        <v>38</v>
      </c>
      <c r="G581" s="20" t="s">
        <v>2352</v>
      </c>
      <c r="H581" s="32" t="s">
        <v>2353</v>
      </c>
      <c r="I581" s="25" t="s">
        <v>64</v>
      </c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>
        <v>818169786</v>
      </c>
      <c r="X581" s="26" t="s">
        <v>2354</v>
      </c>
      <c r="Y581" s="25"/>
      <c r="Z581" s="25"/>
      <c r="AA581" s="35"/>
      <c r="AB581" s="25"/>
      <c r="AC581" s="25" t="str">
        <f>TRIM(StudentScore[[#This Row],[Student Email]])</f>
        <v>yosapol.mal@student.mahidol.ac.th</v>
      </c>
    </row>
    <row r="582" spans="1:29" ht="27">
      <c r="A582" s="15">
        <v>576</v>
      </c>
      <c r="B582" s="33">
        <f t="shared" si="30"/>
        <v>64</v>
      </c>
      <c r="C582" s="27">
        <f t="shared" si="31"/>
        <v>2024</v>
      </c>
      <c r="D582" s="54"/>
      <c r="E582" s="19">
        <v>6488043</v>
      </c>
      <c r="F582" s="20" t="s">
        <v>38</v>
      </c>
      <c r="G582" s="20" t="s">
        <v>2355</v>
      </c>
      <c r="H582" s="32" t="s">
        <v>2356</v>
      </c>
      <c r="I582" s="25" t="s">
        <v>64</v>
      </c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>
        <v>953914494</v>
      </c>
      <c r="X582" s="26" t="s">
        <v>2357</v>
      </c>
      <c r="Y582" s="25"/>
      <c r="Z582" s="25"/>
      <c r="AA582" s="35"/>
      <c r="AB582" s="25"/>
      <c r="AC582" s="25" t="str">
        <f>TRIM(StudentScore[[#This Row],[Student Email]])</f>
        <v>pongphat.mit@student.mahidol.ac.th</v>
      </c>
    </row>
    <row r="583" spans="1:29" ht="27">
      <c r="A583" s="15">
        <v>577</v>
      </c>
      <c r="B583" s="33">
        <f t="shared" si="30"/>
        <v>64</v>
      </c>
      <c r="C583" s="27">
        <f t="shared" si="31"/>
        <v>2024</v>
      </c>
      <c r="D583" s="54"/>
      <c r="E583" s="19">
        <v>6488044</v>
      </c>
      <c r="F583" s="20" t="s">
        <v>38</v>
      </c>
      <c r="G583" s="20" t="s">
        <v>2358</v>
      </c>
      <c r="H583" s="32" t="s">
        <v>2359</v>
      </c>
      <c r="I583" s="25" t="s">
        <v>244</v>
      </c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>
        <v>869265142</v>
      </c>
      <c r="X583" s="26" t="s">
        <v>2360</v>
      </c>
      <c r="Y583" s="25"/>
      <c r="Z583" s="25"/>
      <c r="AA583" s="35"/>
      <c r="AB583" s="25"/>
      <c r="AC583" s="25" t="str">
        <f>TRIM(StudentScore[[#This Row],[Student Email]])</f>
        <v>shoojutar.nar@student.mahidol.ac.th</v>
      </c>
    </row>
    <row r="584" spans="1:29" ht="27">
      <c r="A584" s="15">
        <v>578</v>
      </c>
      <c r="B584" s="33">
        <f t="shared" si="30"/>
        <v>64</v>
      </c>
      <c r="C584" s="27">
        <f t="shared" si="31"/>
        <v>2024</v>
      </c>
      <c r="D584" s="54"/>
      <c r="E584" s="19">
        <v>6488045</v>
      </c>
      <c r="F584" s="20" t="s">
        <v>117</v>
      </c>
      <c r="G584" s="20" t="s">
        <v>2361</v>
      </c>
      <c r="H584" s="32" t="s">
        <v>2362</v>
      </c>
      <c r="I584" s="25" t="s">
        <v>53</v>
      </c>
      <c r="J584" s="25">
        <v>105</v>
      </c>
      <c r="K584" s="25">
        <v>52</v>
      </c>
      <c r="L584" s="25">
        <v>53</v>
      </c>
      <c r="M584" s="25"/>
      <c r="N584" s="25"/>
      <c r="O584" s="25"/>
      <c r="P584" s="25"/>
      <c r="Q584" s="25"/>
      <c r="R584" s="25"/>
      <c r="S584" s="26">
        <v>44807</v>
      </c>
      <c r="T584" s="51">
        <v>44835</v>
      </c>
      <c r="U584" s="25"/>
      <c r="V584" s="25"/>
      <c r="W584" s="25">
        <v>846975159</v>
      </c>
      <c r="X584" s="26" t="s">
        <v>2363</v>
      </c>
      <c r="Y584" s="42">
        <v>44838.601284722223</v>
      </c>
      <c r="Z584" s="25" t="s">
        <v>2364</v>
      </c>
      <c r="AA584" s="35"/>
      <c r="AB584" s="25"/>
      <c r="AC584" s="25" t="str">
        <f>TRIM(StudentScore[[#This Row],[Student Email]])</f>
        <v>supithcha.jon@student.mahidol.ac.th</v>
      </c>
    </row>
    <row r="585" spans="1:29" ht="27">
      <c r="A585" s="15">
        <v>579</v>
      </c>
      <c r="B585" s="33">
        <f t="shared" si="30"/>
        <v>64</v>
      </c>
      <c r="C585" s="27">
        <f t="shared" si="31"/>
        <v>2024</v>
      </c>
      <c r="D585" s="54"/>
      <c r="E585" s="19">
        <v>6488046</v>
      </c>
      <c r="F585" s="20" t="s">
        <v>38</v>
      </c>
      <c r="G585" s="20" t="s">
        <v>2365</v>
      </c>
      <c r="H585" s="32" t="s">
        <v>2366</v>
      </c>
      <c r="I585" s="25" t="s">
        <v>64</v>
      </c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>
        <v>981457471</v>
      </c>
      <c r="X585" s="26" t="s">
        <v>2367</v>
      </c>
      <c r="Y585" s="25"/>
      <c r="Z585" s="25"/>
      <c r="AA585" s="35"/>
      <c r="AB585" s="25"/>
      <c r="AC585" s="25" t="str">
        <f>TRIM(StudentScore[[#This Row],[Student Email]])</f>
        <v>poramet.kae@student.mahidol.ac.th</v>
      </c>
    </row>
    <row r="586" spans="1:29" ht="27">
      <c r="A586" s="15">
        <v>580</v>
      </c>
      <c r="B586" s="33">
        <f t="shared" si="30"/>
        <v>64</v>
      </c>
      <c r="C586" s="27">
        <f t="shared" si="31"/>
        <v>2024</v>
      </c>
      <c r="D586" s="54"/>
      <c r="E586" s="19">
        <v>6488047</v>
      </c>
      <c r="F586" s="20" t="s">
        <v>117</v>
      </c>
      <c r="G586" s="20" t="s">
        <v>2368</v>
      </c>
      <c r="H586" s="32" t="s">
        <v>2369</v>
      </c>
      <c r="I586" s="25" t="s">
        <v>53</v>
      </c>
      <c r="J586" s="25">
        <v>92</v>
      </c>
      <c r="K586" s="25"/>
      <c r="L586" s="25"/>
      <c r="M586" s="25"/>
      <c r="N586" s="25"/>
      <c r="O586" s="25"/>
      <c r="P586" s="25"/>
      <c r="Q586" s="25"/>
      <c r="R586" s="25"/>
      <c r="S586" s="35">
        <v>44636</v>
      </c>
      <c r="T586" s="35">
        <v>44945</v>
      </c>
      <c r="U586" s="25"/>
      <c r="V586" s="25"/>
      <c r="W586" s="25">
        <v>982852797</v>
      </c>
      <c r="X586" s="26" t="s">
        <v>2370</v>
      </c>
      <c r="Y586" s="25"/>
      <c r="Z586" s="25"/>
      <c r="AA586" s="35"/>
      <c r="AB586" s="25"/>
      <c r="AC586" s="25" t="str">
        <f>TRIM(StudentScore[[#This Row],[Student Email]])</f>
        <v>nattarat.pan@student.mahidol.ac.th</v>
      </c>
    </row>
    <row r="587" spans="1:29" ht="27">
      <c r="A587" s="15">
        <v>581</v>
      </c>
      <c r="B587" s="33">
        <f t="shared" si="30"/>
        <v>64</v>
      </c>
      <c r="C587" s="27">
        <f t="shared" si="31"/>
        <v>2024</v>
      </c>
      <c r="D587" s="54"/>
      <c r="E587" s="19">
        <v>6488048</v>
      </c>
      <c r="F587" s="20" t="s">
        <v>38</v>
      </c>
      <c r="G587" s="20" t="s">
        <v>447</v>
      </c>
      <c r="H587" s="32" t="s">
        <v>2371</v>
      </c>
      <c r="I587" s="25" t="s">
        <v>41</v>
      </c>
      <c r="J587" s="25">
        <v>550</v>
      </c>
      <c r="K587" s="25">
        <v>58</v>
      </c>
      <c r="L587" s="25">
        <v>60</v>
      </c>
      <c r="M587" s="25">
        <v>47</v>
      </c>
      <c r="N587" s="25"/>
      <c r="O587" s="25"/>
      <c r="P587" s="25"/>
      <c r="Q587" s="25"/>
      <c r="R587" s="25"/>
      <c r="S587" s="35">
        <v>44347</v>
      </c>
      <c r="T587" s="51">
        <v>44378</v>
      </c>
      <c r="U587" s="25"/>
      <c r="V587" s="25"/>
      <c r="W587" s="25">
        <v>876065081</v>
      </c>
      <c r="X587" s="26" t="s">
        <v>2372</v>
      </c>
      <c r="Y587" s="25"/>
      <c r="Z587" s="25"/>
      <c r="AA587" s="35"/>
      <c r="AB587" s="25"/>
      <c r="AC587" s="25" t="str">
        <f>TRIM(StudentScore[[#This Row],[Student Email]])</f>
        <v>napat.kai@student.mahidol.ac.th</v>
      </c>
    </row>
    <row r="588" spans="1:29" ht="27">
      <c r="A588" s="15">
        <v>582</v>
      </c>
      <c r="B588" s="33">
        <f t="shared" si="30"/>
        <v>64</v>
      </c>
      <c r="C588" s="27">
        <f t="shared" si="31"/>
        <v>2024</v>
      </c>
      <c r="D588" s="54"/>
      <c r="E588" s="19">
        <v>6488049</v>
      </c>
      <c r="F588" s="20" t="s">
        <v>117</v>
      </c>
      <c r="G588" s="20" t="s">
        <v>2373</v>
      </c>
      <c r="H588" s="32" t="s">
        <v>2374</v>
      </c>
      <c r="I588" s="25" t="s">
        <v>64</v>
      </c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>
        <v>923345656</v>
      </c>
      <c r="X588" s="26" t="s">
        <v>2375</v>
      </c>
      <c r="Y588" s="25"/>
      <c r="Z588" s="25"/>
      <c r="AA588" s="35"/>
      <c r="AB588" s="25"/>
      <c r="AC588" s="25" t="str">
        <f>TRIM(StudentScore[[#This Row],[Student Email]])</f>
        <v>kanita.kar@student.mahidol.ac.th</v>
      </c>
    </row>
    <row r="589" spans="1:29" ht="27">
      <c r="A589" s="15">
        <v>583</v>
      </c>
      <c r="B589" s="33">
        <f t="shared" si="30"/>
        <v>64</v>
      </c>
      <c r="C589" s="27">
        <f t="shared" si="31"/>
        <v>2024</v>
      </c>
      <c r="D589" s="54"/>
      <c r="E589" s="19">
        <v>6488050</v>
      </c>
      <c r="F589" s="20" t="s">
        <v>38</v>
      </c>
      <c r="G589" s="20" t="s">
        <v>1512</v>
      </c>
      <c r="H589" s="32" t="s">
        <v>2376</v>
      </c>
      <c r="I589" s="25" t="s">
        <v>64</v>
      </c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>
        <v>950457333</v>
      </c>
      <c r="X589" s="26" t="s">
        <v>2377</v>
      </c>
      <c r="Y589" s="25"/>
      <c r="Z589" s="25"/>
      <c r="AA589" s="35"/>
      <c r="AB589" s="25"/>
      <c r="AC589" s="25" t="str">
        <f>TRIM(StudentScore[[#This Row],[Student Email]])</f>
        <v>waris.kha@student.mahidol.ac.th</v>
      </c>
    </row>
    <row r="590" spans="1:29" ht="27">
      <c r="A590" s="15">
        <v>584</v>
      </c>
      <c r="B590" s="33">
        <f t="shared" si="30"/>
        <v>64</v>
      </c>
      <c r="C590" s="27">
        <f t="shared" si="31"/>
        <v>2024</v>
      </c>
      <c r="D590" s="54"/>
      <c r="E590" s="19">
        <v>6488051</v>
      </c>
      <c r="F590" s="20" t="s">
        <v>38</v>
      </c>
      <c r="G590" s="20" t="s">
        <v>2378</v>
      </c>
      <c r="H590" s="32" t="s">
        <v>2379</v>
      </c>
      <c r="I590" s="25" t="s">
        <v>124</v>
      </c>
      <c r="J590" s="25">
        <v>7.5</v>
      </c>
      <c r="K590" s="25">
        <v>8.5</v>
      </c>
      <c r="L590" s="25">
        <v>8</v>
      </c>
      <c r="M590" s="25">
        <v>6</v>
      </c>
      <c r="N590" s="25">
        <v>6.5</v>
      </c>
      <c r="O590" s="25"/>
      <c r="P590" s="25"/>
      <c r="Q590" s="25"/>
      <c r="R590" s="25"/>
      <c r="S590" s="35">
        <v>44142</v>
      </c>
      <c r="T590" s="51">
        <v>44378</v>
      </c>
      <c r="U590" s="25" t="s">
        <v>2261</v>
      </c>
      <c r="V590" s="25"/>
      <c r="W590" s="25">
        <v>817801400</v>
      </c>
      <c r="X590" s="26" t="s">
        <v>2380</v>
      </c>
      <c r="Y590" s="25"/>
      <c r="Z590" s="25"/>
      <c r="AA590" s="35"/>
      <c r="AB590" s="25"/>
      <c r="AC590" s="25" t="str">
        <f>TRIM(StudentScore[[#This Row],[Student Email]])</f>
        <v>purinat.paa@student.mahidol.ac.th</v>
      </c>
    </row>
    <row r="591" spans="1:29" ht="27">
      <c r="A591" s="15">
        <v>585</v>
      </c>
      <c r="B591" s="33">
        <f t="shared" si="30"/>
        <v>64</v>
      </c>
      <c r="C591" s="27">
        <f t="shared" si="31"/>
        <v>2024</v>
      </c>
      <c r="D591" s="54"/>
      <c r="E591" s="19">
        <v>6488052</v>
      </c>
      <c r="F591" s="20" t="s">
        <v>117</v>
      </c>
      <c r="G591" s="20" t="s">
        <v>2381</v>
      </c>
      <c r="H591" s="32" t="s">
        <v>2382</v>
      </c>
      <c r="I591" s="25" t="s">
        <v>53</v>
      </c>
      <c r="J591" s="25">
        <v>103</v>
      </c>
      <c r="K591" s="25">
        <v>46</v>
      </c>
      <c r="L591" s="25">
        <v>57</v>
      </c>
      <c r="M591" s="25"/>
      <c r="N591" s="25"/>
      <c r="O591" s="25"/>
      <c r="P591" s="25"/>
      <c r="Q591" s="25"/>
      <c r="R591" s="25"/>
      <c r="S591" s="26">
        <v>44975</v>
      </c>
      <c r="T591" s="35">
        <v>45005</v>
      </c>
      <c r="U591" s="25"/>
      <c r="V591" s="25"/>
      <c r="W591" s="25">
        <v>830753204</v>
      </c>
      <c r="X591" s="26" t="s">
        <v>2383</v>
      </c>
      <c r="Y591" s="42">
        <v>45005.52207175926</v>
      </c>
      <c r="Z591" s="25" t="s">
        <v>2384</v>
      </c>
      <c r="AA591" s="35"/>
      <c r="AB591" s="25"/>
      <c r="AC591" s="25" t="str">
        <f>TRIM(StudentScore[[#This Row],[Student Email]])</f>
        <v>sasasuang.pat@student.mahidol.ac.th</v>
      </c>
    </row>
    <row r="592" spans="1:29" ht="27">
      <c r="A592" s="15">
        <v>586</v>
      </c>
      <c r="B592" s="33">
        <f t="shared" si="30"/>
        <v>64</v>
      </c>
      <c r="C592" s="27">
        <f t="shared" si="31"/>
        <v>2024</v>
      </c>
      <c r="D592" s="54"/>
      <c r="E592" s="19">
        <v>6488053</v>
      </c>
      <c r="F592" s="20" t="s">
        <v>38</v>
      </c>
      <c r="G592" s="20" t="s">
        <v>2385</v>
      </c>
      <c r="H592" s="32" t="s">
        <v>2386</v>
      </c>
      <c r="I592" s="25" t="s">
        <v>64</v>
      </c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>
        <v>891972933</v>
      </c>
      <c r="X592" s="26" t="s">
        <v>2387</v>
      </c>
      <c r="Y592" s="25"/>
      <c r="Z592" s="25"/>
      <c r="AA592" s="35"/>
      <c r="AB592" s="25"/>
      <c r="AC592" s="25" t="str">
        <f>TRIM(StudentScore[[#This Row],[Student Email]])</f>
        <v>krittanai.pea@student.mahidol.ac.th</v>
      </c>
    </row>
    <row r="593" spans="1:29" ht="27">
      <c r="A593" s="15">
        <v>587</v>
      </c>
      <c r="B593" s="33">
        <f t="shared" si="30"/>
        <v>64</v>
      </c>
      <c r="C593" s="27">
        <f t="shared" si="31"/>
        <v>2024</v>
      </c>
      <c r="D593" s="54"/>
      <c r="E593" s="19">
        <v>6488054</v>
      </c>
      <c r="F593" s="20" t="s">
        <v>38</v>
      </c>
      <c r="G593" s="20" t="s">
        <v>2388</v>
      </c>
      <c r="H593" s="32" t="s">
        <v>2389</v>
      </c>
      <c r="I593" s="25" t="s">
        <v>53</v>
      </c>
      <c r="J593" s="25">
        <v>91</v>
      </c>
      <c r="K593" s="25">
        <v>45</v>
      </c>
      <c r="L593" s="25">
        <v>46</v>
      </c>
      <c r="M593" s="25"/>
      <c r="N593" s="25"/>
      <c r="O593" s="25"/>
      <c r="P593" s="25"/>
      <c r="Q593" s="25"/>
      <c r="R593" s="25"/>
      <c r="S593" s="26">
        <v>44975</v>
      </c>
      <c r="T593" s="35">
        <v>44988</v>
      </c>
      <c r="U593" s="25"/>
      <c r="V593" s="25"/>
      <c r="W593" s="25">
        <v>954121127</v>
      </c>
      <c r="X593" s="26" t="s">
        <v>2390</v>
      </c>
      <c r="Y593" s="42">
        <v>44988.667905092596</v>
      </c>
      <c r="Z593" s="25" t="s">
        <v>2391</v>
      </c>
      <c r="AA593" s="35"/>
      <c r="AB593" s="25"/>
      <c r="AC593" s="25" t="str">
        <f>TRIM(StudentScore[[#This Row],[Student Email]])</f>
        <v>napattaraphon.pha@student.mahidol.ac.th</v>
      </c>
    </row>
    <row r="594" spans="1:29" ht="27">
      <c r="A594" s="15">
        <v>588</v>
      </c>
      <c r="B594" s="33">
        <f t="shared" si="30"/>
        <v>64</v>
      </c>
      <c r="C594" s="27">
        <f t="shared" si="31"/>
        <v>2024</v>
      </c>
      <c r="D594" s="54"/>
      <c r="E594" s="19">
        <v>6488055</v>
      </c>
      <c r="F594" s="20" t="s">
        <v>38</v>
      </c>
      <c r="G594" s="20" t="s">
        <v>2392</v>
      </c>
      <c r="H594" s="32" t="s">
        <v>2393</v>
      </c>
      <c r="I594" s="25" t="s">
        <v>64</v>
      </c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>
        <v>928532035</v>
      </c>
      <c r="X594" s="26" t="s">
        <v>2394</v>
      </c>
      <c r="Y594" s="25"/>
      <c r="Z594" s="25"/>
      <c r="AA594" s="35"/>
      <c r="AB594" s="25"/>
      <c r="AC594" s="25" t="str">
        <f>TRIM(StudentScore[[#This Row],[Student Email]])</f>
        <v>phusit.pha@student.mahidol.ac.th</v>
      </c>
    </row>
    <row r="595" spans="1:29" ht="27">
      <c r="A595" s="15">
        <v>589</v>
      </c>
      <c r="B595" s="33">
        <f t="shared" si="30"/>
        <v>64</v>
      </c>
      <c r="C595" s="27">
        <f t="shared" si="31"/>
        <v>2024</v>
      </c>
      <c r="D595" s="54"/>
      <c r="E595" s="19">
        <v>6488056</v>
      </c>
      <c r="F595" s="20" t="s">
        <v>38</v>
      </c>
      <c r="G595" s="20" t="s">
        <v>2395</v>
      </c>
      <c r="H595" s="32" t="s">
        <v>2396</v>
      </c>
      <c r="I595" s="25" t="s">
        <v>64</v>
      </c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>
        <v>923589191</v>
      </c>
      <c r="X595" s="26" t="s">
        <v>2397</v>
      </c>
      <c r="Y595" s="25"/>
      <c r="Z595" s="25"/>
      <c r="AA595" s="35"/>
      <c r="AB595" s="25"/>
      <c r="AC595" s="25" t="str">
        <f>TRIM(StudentScore[[#This Row],[Student Email]])</f>
        <v>tanapat.klp@student.mahidol.ac.th</v>
      </c>
    </row>
    <row r="596" spans="1:29" ht="27">
      <c r="A596" s="15">
        <v>590</v>
      </c>
      <c r="B596" s="33">
        <f t="shared" si="30"/>
        <v>64</v>
      </c>
      <c r="C596" s="27">
        <f t="shared" si="31"/>
        <v>2024</v>
      </c>
      <c r="D596" s="54"/>
      <c r="E596" s="19">
        <v>6488057</v>
      </c>
      <c r="F596" s="20" t="s">
        <v>117</v>
      </c>
      <c r="G596" s="20" t="s">
        <v>2398</v>
      </c>
      <c r="H596" s="32" t="s">
        <v>2399</v>
      </c>
      <c r="I596" s="25" t="s">
        <v>64</v>
      </c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>
        <v>832914888</v>
      </c>
      <c r="X596" s="26" t="s">
        <v>2400</v>
      </c>
      <c r="Y596" s="25"/>
      <c r="Z596" s="25"/>
      <c r="AA596" s="35"/>
      <c r="AB596" s="25"/>
      <c r="AC596" s="25" t="str">
        <f>TRIM(StudentScore[[#This Row],[Student Email]])</f>
        <v>phawida.phu@student.mahidol.ac.th</v>
      </c>
    </row>
    <row r="597" spans="1:29" ht="27">
      <c r="A597" s="15">
        <v>591</v>
      </c>
      <c r="B597" s="33">
        <f t="shared" si="30"/>
        <v>64</v>
      </c>
      <c r="C597" s="27">
        <f t="shared" si="31"/>
        <v>2024</v>
      </c>
      <c r="D597" s="54"/>
      <c r="E597" s="19">
        <v>6488058</v>
      </c>
      <c r="F597" s="20" t="s">
        <v>117</v>
      </c>
      <c r="G597" s="20" t="s">
        <v>2401</v>
      </c>
      <c r="H597" s="32" t="s">
        <v>2402</v>
      </c>
      <c r="I597" s="25" t="s">
        <v>64</v>
      </c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>
        <v>819325259</v>
      </c>
      <c r="X597" s="26" t="s">
        <v>2403</v>
      </c>
      <c r="Y597" s="25"/>
      <c r="Z597" s="25"/>
      <c r="AA597" s="35"/>
      <c r="AB597" s="25"/>
      <c r="AC597" s="25" t="str">
        <f>TRIM(StudentScore[[#This Row],[Student Email]])</f>
        <v>rawiporn.ler@student.mahidol.ac.th</v>
      </c>
    </row>
    <row r="598" spans="1:29" ht="27">
      <c r="A598" s="15">
        <v>592</v>
      </c>
      <c r="B598" s="33">
        <f t="shared" si="30"/>
        <v>64</v>
      </c>
      <c r="C598" s="27">
        <f t="shared" si="31"/>
        <v>2024</v>
      </c>
      <c r="D598" s="54"/>
      <c r="E598" s="19">
        <v>6488059</v>
      </c>
      <c r="F598" s="20" t="s">
        <v>117</v>
      </c>
      <c r="G598" s="20" t="s">
        <v>2404</v>
      </c>
      <c r="H598" s="32" t="s">
        <v>2405</v>
      </c>
      <c r="I598" s="25" t="s">
        <v>64</v>
      </c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>
        <v>629584956</v>
      </c>
      <c r="X598" s="26" t="s">
        <v>2406</v>
      </c>
      <c r="Y598" s="25"/>
      <c r="Z598" s="25"/>
      <c r="AA598" s="35"/>
      <c r="AB598" s="25"/>
      <c r="AC598" s="25" t="str">
        <f>TRIM(StudentScore[[#This Row],[Student Email]])</f>
        <v>boonlaporn.pin@student.mahidol.ac.th</v>
      </c>
    </row>
    <row r="599" spans="1:29" ht="27">
      <c r="A599" s="15">
        <v>593</v>
      </c>
      <c r="B599" s="33">
        <f t="shared" si="30"/>
        <v>64</v>
      </c>
      <c r="C599" s="27">
        <f t="shared" si="31"/>
        <v>2024</v>
      </c>
      <c r="D599" s="54"/>
      <c r="E599" s="19">
        <v>6488060</v>
      </c>
      <c r="F599" s="20" t="s">
        <v>117</v>
      </c>
      <c r="G599" s="20" t="s">
        <v>2407</v>
      </c>
      <c r="H599" s="32" t="s">
        <v>1079</v>
      </c>
      <c r="I599" s="25" t="s">
        <v>64</v>
      </c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>
        <v>818187150</v>
      </c>
      <c r="X599" s="26" t="s">
        <v>2408</v>
      </c>
      <c r="Y599" s="25"/>
      <c r="Z599" s="25"/>
      <c r="AA599" s="35"/>
      <c r="AB599" s="25"/>
      <c r="AC599" s="25" t="str">
        <f>TRIM(StudentScore[[#This Row],[Student Email]])</f>
        <v>pawita.pon@student.mahidol.ac.th</v>
      </c>
    </row>
    <row r="600" spans="1:29" ht="27">
      <c r="A600" s="15">
        <v>594</v>
      </c>
      <c r="B600" s="33">
        <f t="shared" si="30"/>
        <v>64</v>
      </c>
      <c r="C600" s="27">
        <f t="shared" si="31"/>
        <v>2024</v>
      </c>
      <c r="D600" s="54"/>
      <c r="E600" s="19">
        <v>6488061</v>
      </c>
      <c r="F600" s="20" t="s">
        <v>117</v>
      </c>
      <c r="G600" s="20" t="s">
        <v>2409</v>
      </c>
      <c r="H600" s="32" t="s">
        <v>2410</v>
      </c>
      <c r="I600" s="25" t="s">
        <v>64</v>
      </c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>
        <v>828155503</v>
      </c>
      <c r="X600" s="26" t="s">
        <v>2411</v>
      </c>
      <c r="Y600" s="25"/>
      <c r="Z600" s="25"/>
      <c r="AA600" s="35"/>
      <c r="AB600" s="25"/>
      <c r="AC600" s="25" t="str">
        <f>TRIM(StudentScore[[#This Row],[Student Email]])</f>
        <v>chaninan.phe@student.mahidol.ac.th</v>
      </c>
    </row>
    <row r="601" spans="1:29" ht="27">
      <c r="A601" s="15">
        <v>595</v>
      </c>
      <c r="B601" s="33">
        <f t="shared" si="30"/>
        <v>64</v>
      </c>
      <c r="C601" s="27">
        <f t="shared" si="31"/>
        <v>2024</v>
      </c>
      <c r="D601" s="54"/>
      <c r="E601" s="19">
        <v>6488062</v>
      </c>
      <c r="F601" s="20" t="s">
        <v>38</v>
      </c>
      <c r="G601" s="20" t="s">
        <v>2412</v>
      </c>
      <c r="H601" s="32" t="s">
        <v>2413</v>
      </c>
      <c r="I601" s="25" t="s">
        <v>244</v>
      </c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>
        <v>615924224</v>
      </c>
      <c r="X601" s="26" t="s">
        <v>2414</v>
      </c>
      <c r="Y601" s="25"/>
      <c r="Z601" s="25"/>
      <c r="AA601" s="35"/>
      <c r="AB601" s="25"/>
      <c r="AC601" s="25" t="str">
        <f>TRIM(StudentScore[[#This Row],[Student Email]])</f>
        <v>jadsada.pou@student.mahidol.ac.th</v>
      </c>
    </row>
    <row r="602" spans="1:29" ht="27">
      <c r="A602" s="15">
        <v>596</v>
      </c>
      <c r="B602" s="33">
        <f t="shared" si="30"/>
        <v>64</v>
      </c>
      <c r="C602" s="27">
        <f t="shared" si="31"/>
        <v>2024</v>
      </c>
      <c r="D602" s="54"/>
      <c r="E602" s="19">
        <v>6488063</v>
      </c>
      <c r="F602" s="20" t="s">
        <v>38</v>
      </c>
      <c r="G602" s="20" t="s">
        <v>2415</v>
      </c>
      <c r="H602" s="32" t="s">
        <v>2416</v>
      </c>
      <c r="I602" s="25" t="s">
        <v>64</v>
      </c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>
        <v>815576086</v>
      </c>
      <c r="X602" s="26" t="s">
        <v>2417</v>
      </c>
      <c r="Y602" s="25"/>
      <c r="Z602" s="25"/>
      <c r="AA602" s="35"/>
      <c r="AB602" s="25"/>
      <c r="AC602" s="25" t="str">
        <f>TRIM(StudentScore[[#This Row],[Student Email]])</f>
        <v>khanchai.pra@student.mahidol.ac.th</v>
      </c>
    </row>
    <row r="603" spans="1:29" ht="27">
      <c r="A603" s="15">
        <v>597</v>
      </c>
      <c r="B603" s="33">
        <f t="shared" si="30"/>
        <v>64</v>
      </c>
      <c r="C603" s="27">
        <f t="shared" si="31"/>
        <v>2024</v>
      </c>
      <c r="D603" s="54"/>
      <c r="E603" s="19">
        <v>6488064</v>
      </c>
      <c r="F603" s="20" t="s">
        <v>38</v>
      </c>
      <c r="G603" s="20" t="s">
        <v>2418</v>
      </c>
      <c r="H603" s="32" t="s">
        <v>2419</v>
      </c>
      <c r="I603" s="25" t="s">
        <v>124</v>
      </c>
      <c r="J603" s="25">
        <v>5.5</v>
      </c>
      <c r="K603" s="25">
        <v>6</v>
      </c>
      <c r="L603" s="25">
        <v>6</v>
      </c>
      <c r="M603" s="25">
        <v>5</v>
      </c>
      <c r="N603" s="25">
        <v>5</v>
      </c>
      <c r="O603" s="25"/>
      <c r="P603" s="25"/>
      <c r="Q603" s="25"/>
      <c r="R603" s="25"/>
      <c r="S603" s="35">
        <v>44184</v>
      </c>
      <c r="T603" s="51">
        <v>44409</v>
      </c>
      <c r="U603" s="25"/>
      <c r="V603" s="25"/>
      <c r="W603" s="25">
        <v>847888474</v>
      </c>
      <c r="X603" s="26" t="s">
        <v>2420</v>
      </c>
      <c r="Y603" s="25"/>
      <c r="Z603" s="25"/>
      <c r="AA603" s="35"/>
      <c r="AB603" s="25"/>
      <c r="AC603" s="25" t="str">
        <f>TRIM(StudentScore[[#This Row],[Student Email]])</f>
        <v>tachin.poh@student.mahidol.ac.th</v>
      </c>
    </row>
    <row r="604" spans="1:29" ht="27">
      <c r="A604" s="15">
        <v>598</v>
      </c>
      <c r="B604" s="33">
        <f t="shared" si="30"/>
        <v>64</v>
      </c>
      <c r="C604" s="27">
        <f t="shared" si="31"/>
        <v>2024</v>
      </c>
      <c r="D604" s="54"/>
      <c r="E604" s="19">
        <v>6488065</v>
      </c>
      <c r="F604" s="20" t="s">
        <v>38</v>
      </c>
      <c r="G604" s="20" t="s">
        <v>2421</v>
      </c>
      <c r="H604" s="32" t="s">
        <v>2422</v>
      </c>
      <c r="I604" s="25" t="s">
        <v>64</v>
      </c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>
        <v>800804890</v>
      </c>
      <c r="X604" s="26" t="s">
        <v>2423</v>
      </c>
      <c r="Y604" s="25"/>
      <c r="Z604" s="25"/>
      <c r="AA604" s="35"/>
      <c r="AB604" s="25"/>
      <c r="AC604" s="25" t="str">
        <f>TRIM(StudentScore[[#This Row],[Student Email]])</f>
        <v>kittikawin.pon@student.mahidol.ac.th</v>
      </c>
    </row>
    <row r="605" spans="1:29" ht="27">
      <c r="A605" s="15">
        <v>599</v>
      </c>
      <c r="B605" s="33">
        <f t="shared" si="30"/>
        <v>64</v>
      </c>
      <c r="C605" s="27">
        <f t="shared" si="31"/>
        <v>2024</v>
      </c>
      <c r="D605" s="54"/>
      <c r="E605" s="19">
        <v>6488066</v>
      </c>
      <c r="F605" s="20" t="s">
        <v>117</v>
      </c>
      <c r="G605" s="20" t="s">
        <v>2424</v>
      </c>
      <c r="H605" s="32" t="s">
        <v>2425</v>
      </c>
      <c r="I605" s="25" t="s">
        <v>124</v>
      </c>
      <c r="J605" s="25">
        <v>6</v>
      </c>
      <c r="K605" s="25">
        <v>6</v>
      </c>
      <c r="L605" s="25">
        <v>6</v>
      </c>
      <c r="M605" s="25">
        <v>5</v>
      </c>
      <c r="N605" s="25">
        <v>6</v>
      </c>
      <c r="O605" s="25"/>
      <c r="P605" s="25"/>
      <c r="Q605" s="25"/>
      <c r="R605" s="25"/>
      <c r="S605" s="35">
        <v>44012</v>
      </c>
      <c r="T605" s="51">
        <v>44378</v>
      </c>
      <c r="U605" s="25"/>
      <c r="V605" s="25"/>
      <c r="W605" s="25">
        <v>867777766</v>
      </c>
      <c r="X605" s="26" t="s">
        <v>2426</v>
      </c>
      <c r="Y605" s="25"/>
      <c r="Z605" s="25"/>
      <c r="AA605" s="35"/>
      <c r="AB605" s="25"/>
      <c r="AC605" s="25" t="str">
        <f>TRIM(StudentScore[[#This Row],[Student Email]])</f>
        <v>arada.rak@student.mahidol.ac.th</v>
      </c>
    </row>
    <row r="606" spans="1:29" ht="27">
      <c r="A606" s="15">
        <v>600</v>
      </c>
      <c r="B606" s="33">
        <f t="shared" si="30"/>
        <v>64</v>
      </c>
      <c r="C606" s="27">
        <f t="shared" si="31"/>
        <v>2024</v>
      </c>
      <c r="D606" s="54"/>
      <c r="E606" s="19">
        <v>6488067</v>
      </c>
      <c r="F606" s="20" t="s">
        <v>38</v>
      </c>
      <c r="G606" s="20" t="s">
        <v>2427</v>
      </c>
      <c r="H606" s="32" t="s">
        <v>2428</v>
      </c>
      <c r="I606" s="25" t="s">
        <v>53</v>
      </c>
      <c r="J606" s="25">
        <v>91</v>
      </c>
      <c r="K606" s="25">
        <v>46</v>
      </c>
      <c r="L606" s="25">
        <v>45</v>
      </c>
      <c r="M606" s="25"/>
      <c r="N606" s="25"/>
      <c r="O606" s="25"/>
      <c r="P606" s="25"/>
      <c r="Q606" s="25"/>
      <c r="R606" s="25"/>
      <c r="S606" s="26">
        <v>44912</v>
      </c>
      <c r="T606" s="35">
        <v>45054</v>
      </c>
      <c r="U606" s="25"/>
      <c r="V606" s="25"/>
      <c r="W606" s="25">
        <v>926252924</v>
      </c>
      <c r="X606" s="26" t="s">
        <v>2429</v>
      </c>
      <c r="Y606" s="42">
        <v>45054.697245370371</v>
      </c>
      <c r="Z606" s="25" t="s">
        <v>2430</v>
      </c>
      <c r="AA606" s="35"/>
      <c r="AB606" s="25"/>
      <c r="AC606" s="25" t="str">
        <f>TRIM(StudentScore[[#This Row],[Student Email]])</f>
        <v>tanawat.raw@student.mahidol.ac.th</v>
      </c>
    </row>
    <row r="607" spans="1:29" ht="27">
      <c r="A607" s="15">
        <v>601</v>
      </c>
      <c r="B607" s="33">
        <f t="shared" si="30"/>
        <v>64</v>
      </c>
      <c r="C607" s="27">
        <f t="shared" si="31"/>
        <v>2024</v>
      </c>
      <c r="D607" s="54"/>
      <c r="E607" s="19">
        <v>6488068</v>
      </c>
      <c r="F607" s="20" t="s">
        <v>38</v>
      </c>
      <c r="G607" s="20" t="s">
        <v>2431</v>
      </c>
      <c r="H607" s="32" t="s">
        <v>2432</v>
      </c>
      <c r="I607" s="25" t="s">
        <v>214</v>
      </c>
      <c r="J607" s="25">
        <v>95</v>
      </c>
      <c r="K607" s="25"/>
      <c r="L607" s="25"/>
      <c r="M607" s="25"/>
      <c r="N607" s="25"/>
      <c r="O607" s="25">
        <v>100</v>
      </c>
      <c r="P607" s="25">
        <v>75</v>
      </c>
      <c r="Q607" s="25">
        <v>105</v>
      </c>
      <c r="R607" s="25">
        <v>45</v>
      </c>
      <c r="S607" s="26">
        <v>45052</v>
      </c>
      <c r="T607" s="35">
        <v>45057</v>
      </c>
      <c r="U607" s="25"/>
      <c r="V607" s="25"/>
      <c r="W607" s="25">
        <v>952657028</v>
      </c>
      <c r="X607" s="26" t="s">
        <v>2433</v>
      </c>
      <c r="Y607" s="42">
        <v>45057.503449074073</v>
      </c>
      <c r="Z607" s="25" t="s">
        <v>2434</v>
      </c>
      <c r="AA607" s="35"/>
      <c r="AB607" s="25"/>
      <c r="AC607" s="25" t="str">
        <f>TRIM(StudentScore[[#This Row],[Student Email]])</f>
        <v>traiphob.rew@student.mahidol.ac.th</v>
      </c>
    </row>
    <row r="608" spans="1:29" ht="27">
      <c r="A608" s="15">
        <v>602</v>
      </c>
      <c r="B608" s="33">
        <f t="shared" si="30"/>
        <v>64</v>
      </c>
      <c r="C608" s="27">
        <f t="shared" si="31"/>
        <v>2024</v>
      </c>
      <c r="D608" s="54"/>
      <c r="E608" s="19">
        <v>6488069</v>
      </c>
      <c r="F608" s="20" t="s">
        <v>38</v>
      </c>
      <c r="G608" s="20" t="s">
        <v>2435</v>
      </c>
      <c r="H608" s="32" t="s">
        <v>2436</v>
      </c>
      <c r="I608" s="25" t="s">
        <v>41</v>
      </c>
      <c r="J608" s="25">
        <v>610</v>
      </c>
      <c r="K608" s="25">
        <v>66</v>
      </c>
      <c r="L608" s="25">
        <v>63</v>
      </c>
      <c r="M608" s="25">
        <v>54</v>
      </c>
      <c r="N608" s="25"/>
      <c r="O608" s="25"/>
      <c r="P608" s="25"/>
      <c r="Q608" s="25"/>
      <c r="R608" s="25"/>
      <c r="S608" s="35">
        <v>44347</v>
      </c>
      <c r="T608" s="51">
        <v>44348</v>
      </c>
      <c r="U608" s="25"/>
      <c r="V608" s="25"/>
      <c r="W608" s="25">
        <v>957013171</v>
      </c>
      <c r="X608" s="26" t="s">
        <v>2437</v>
      </c>
      <c r="Y608" s="25"/>
      <c r="Z608" s="25"/>
      <c r="AA608" s="35"/>
      <c r="AB608" s="25"/>
      <c r="AC608" s="25" t="str">
        <f>TRIM(StudentScore[[#This Row],[Student Email]])</f>
        <v>chattawat.riy@student.mahidol.ac.th</v>
      </c>
    </row>
    <row r="609" spans="1:29" ht="27">
      <c r="A609" s="15">
        <v>603</v>
      </c>
      <c r="B609" s="33">
        <f t="shared" si="30"/>
        <v>64</v>
      </c>
      <c r="C609" s="27">
        <f t="shared" si="31"/>
        <v>2024</v>
      </c>
      <c r="D609" s="54"/>
      <c r="E609" s="19">
        <v>6488070</v>
      </c>
      <c r="F609" s="20" t="s">
        <v>38</v>
      </c>
      <c r="G609" s="20" t="s">
        <v>2438</v>
      </c>
      <c r="H609" s="32" t="s">
        <v>2439</v>
      </c>
      <c r="I609" s="25" t="s">
        <v>64</v>
      </c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>
        <v>614870235</v>
      </c>
      <c r="X609" s="26" t="s">
        <v>2440</v>
      </c>
      <c r="Y609" s="25"/>
      <c r="Z609" s="25"/>
      <c r="AA609" s="35"/>
      <c r="AB609" s="25"/>
      <c r="AC609" s="25" t="str">
        <f>TRIM(StudentScore[[#This Row],[Student Email]])</f>
        <v>yannaphat.lom@student.mahidol.ac.th</v>
      </c>
    </row>
    <row r="610" spans="1:29" ht="27">
      <c r="A610" s="15">
        <v>604</v>
      </c>
      <c r="B610" s="33">
        <f t="shared" si="30"/>
        <v>64</v>
      </c>
      <c r="C610" s="27">
        <f t="shared" si="31"/>
        <v>2024</v>
      </c>
      <c r="D610" s="54"/>
      <c r="E610" s="19">
        <v>6488071</v>
      </c>
      <c r="F610" s="20" t="s">
        <v>38</v>
      </c>
      <c r="G610" s="20" t="s">
        <v>2441</v>
      </c>
      <c r="H610" s="32" t="s">
        <v>2442</v>
      </c>
      <c r="I610" s="25" t="s">
        <v>64</v>
      </c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>
        <v>922788899</v>
      </c>
      <c r="X610" s="26" t="s">
        <v>2443</v>
      </c>
      <c r="Y610" s="25"/>
      <c r="Z610" s="25"/>
      <c r="AA610" s="35"/>
      <c r="AB610" s="25"/>
      <c r="AC610" s="25" t="str">
        <f>TRIM(StudentScore[[#This Row],[Student Email]])</f>
        <v>isariya.raa@student.mahidol.ac.th</v>
      </c>
    </row>
    <row r="611" spans="1:29" ht="27">
      <c r="A611" s="15">
        <v>605</v>
      </c>
      <c r="B611" s="33">
        <f t="shared" si="30"/>
        <v>64</v>
      </c>
      <c r="C611" s="27">
        <f t="shared" si="31"/>
        <v>2024</v>
      </c>
      <c r="D611" s="54"/>
      <c r="E611" s="19">
        <v>6488072</v>
      </c>
      <c r="F611" s="20" t="s">
        <v>117</v>
      </c>
      <c r="G611" s="20" t="s">
        <v>2444</v>
      </c>
      <c r="H611" s="32" t="s">
        <v>1123</v>
      </c>
      <c r="I611" s="25" t="s">
        <v>64</v>
      </c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>
        <v>926154345</v>
      </c>
      <c r="X611" s="26" t="s">
        <v>2445</v>
      </c>
      <c r="Y611" s="25"/>
      <c r="Z611" s="25"/>
      <c r="AA611" s="35"/>
      <c r="AB611" s="25"/>
      <c r="AC611" s="25" t="str">
        <f>TRIM(StudentScore[[#This Row],[Student Email]])</f>
        <v>pachanitha.sae@student.mahidol.ac.th</v>
      </c>
    </row>
    <row r="612" spans="1:29" ht="27">
      <c r="A612" s="15">
        <v>606</v>
      </c>
      <c r="B612" s="33">
        <f t="shared" si="30"/>
        <v>64</v>
      </c>
      <c r="C612" s="27">
        <f t="shared" si="31"/>
        <v>2024</v>
      </c>
      <c r="D612" s="54"/>
      <c r="E612" s="19">
        <v>6488073</v>
      </c>
      <c r="F612" s="20" t="s">
        <v>117</v>
      </c>
      <c r="G612" s="20" t="s">
        <v>2446</v>
      </c>
      <c r="H612" s="32" t="s">
        <v>2447</v>
      </c>
      <c r="I612" s="25" t="s">
        <v>64</v>
      </c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>
        <v>814844130</v>
      </c>
      <c r="X612" s="26" t="s">
        <v>2448</v>
      </c>
      <c r="Y612" s="25"/>
      <c r="Z612" s="25"/>
      <c r="AA612" s="35"/>
      <c r="AB612" s="25"/>
      <c r="AC612" s="25" t="str">
        <f>TRIM(StudentScore[[#This Row],[Student Email]])</f>
        <v>chalisa.sag@student.mahidol.ac.th</v>
      </c>
    </row>
    <row r="613" spans="1:29" ht="27">
      <c r="A613" s="15">
        <v>607</v>
      </c>
      <c r="B613" s="33">
        <f t="shared" si="30"/>
        <v>64</v>
      </c>
      <c r="C613" s="27">
        <f t="shared" si="31"/>
        <v>2024</v>
      </c>
      <c r="D613" s="54"/>
      <c r="E613" s="19">
        <v>6488074</v>
      </c>
      <c r="F613" s="20" t="s">
        <v>38</v>
      </c>
      <c r="G613" s="20" t="s">
        <v>2449</v>
      </c>
      <c r="H613" s="32" t="s">
        <v>2450</v>
      </c>
      <c r="I613" s="25" t="s">
        <v>64</v>
      </c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>
        <v>930715462</v>
      </c>
      <c r="X613" s="26" t="s">
        <v>2451</v>
      </c>
      <c r="Y613" s="25"/>
      <c r="Z613" s="25"/>
      <c r="AA613" s="35"/>
      <c r="AB613" s="25"/>
      <c r="AC613" s="25" t="str">
        <f>TRIM(StudentScore[[#This Row],[Student Email]])</f>
        <v>theekha.rat@student.mahidol.ac.th</v>
      </c>
    </row>
    <row r="614" spans="1:29" ht="27">
      <c r="A614" s="15">
        <v>608</v>
      </c>
      <c r="B614" s="33">
        <f t="shared" si="30"/>
        <v>64</v>
      </c>
      <c r="C614" s="27">
        <f t="shared" si="31"/>
        <v>2024</v>
      </c>
      <c r="D614" s="54"/>
      <c r="E614" s="19">
        <v>6488075</v>
      </c>
      <c r="F614" s="20" t="s">
        <v>38</v>
      </c>
      <c r="G614" s="20" t="s">
        <v>1790</v>
      </c>
      <c r="H614" s="32" t="s">
        <v>2452</v>
      </c>
      <c r="I614" s="25" t="s">
        <v>64</v>
      </c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>
        <v>813833096</v>
      </c>
      <c r="X614" s="26" t="s">
        <v>2453</v>
      </c>
      <c r="Y614" s="25"/>
      <c r="Z614" s="25"/>
      <c r="AA614" s="35"/>
      <c r="AB614" s="25"/>
      <c r="AC614" s="25" t="str">
        <f>TRIM(StudentScore[[#This Row],[Student Email]])</f>
        <v>jirayu.sae@student.mahidol.ac.th</v>
      </c>
    </row>
    <row r="615" spans="1:29" ht="27">
      <c r="A615" s="15">
        <v>609</v>
      </c>
      <c r="B615" s="33">
        <f t="shared" si="30"/>
        <v>64</v>
      </c>
      <c r="C615" s="27">
        <f t="shared" si="31"/>
        <v>2024</v>
      </c>
      <c r="D615" s="54"/>
      <c r="E615" s="19">
        <v>6488076</v>
      </c>
      <c r="F615" s="20" t="s">
        <v>38</v>
      </c>
      <c r="G615" s="20" t="s">
        <v>2454</v>
      </c>
      <c r="H615" s="32" t="s">
        <v>2455</v>
      </c>
      <c r="I615" s="25" t="s">
        <v>64</v>
      </c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>
        <v>824454547</v>
      </c>
      <c r="X615" s="26" t="s">
        <v>2456</v>
      </c>
      <c r="Y615" s="25"/>
      <c r="Z615" s="25"/>
      <c r="AA615" s="35"/>
      <c r="AB615" s="25"/>
      <c r="AC615" s="25" t="str">
        <f>TRIM(StudentScore[[#This Row],[Student Email]])</f>
        <v>thanabhumi.san@student.mahidol.ac.th</v>
      </c>
    </row>
    <row r="616" spans="1:29" ht="27">
      <c r="A616" s="15">
        <v>610</v>
      </c>
      <c r="B616" s="33">
        <f t="shared" si="30"/>
        <v>64</v>
      </c>
      <c r="C616" s="27">
        <f t="shared" si="31"/>
        <v>2024</v>
      </c>
      <c r="D616" s="54"/>
      <c r="E616" s="19">
        <v>6488077</v>
      </c>
      <c r="F616" s="20" t="s">
        <v>38</v>
      </c>
      <c r="G616" s="20" t="s">
        <v>1626</v>
      </c>
      <c r="H616" s="32" t="s">
        <v>2457</v>
      </c>
      <c r="I616" s="25" t="s">
        <v>64</v>
      </c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>
        <v>922492061</v>
      </c>
      <c r="X616" s="26" t="s">
        <v>2458</v>
      </c>
      <c r="Y616" s="25"/>
      <c r="Z616" s="25"/>
      <c r="AA616" s="35"/>
      <c r="AB616" s="25"/>
      <c r="AC616" s="25" t="str">
        <f>TRIM(StudentScore[[#This Row],[Student Email]])</f>
        <v>thanat.sat@student.mahidol.ac.th</v>
      </c>
    </row>
    <row r="617" spans="1:29" ht="27">
      <c r="A617" s="15">
        <v>611</v>
      </c>
      <c r="B617" s="33">
        <f t="shared" si="30"/>
        <v>64</v>
      </c>
      <c r="C617" s="27">
        <f t="shared" si="31"/>
        <v>2024</v>
      </c>
      <c r="D617" s="54"/>
      <c r="E617" s="19">
        <v>6488078</v>
      </c>
      <c r="F617" s="20" t="s">
        <v>38</v>
      </c>
      <c r="G617" s="20" t="s">
        <v>2459</v>
      </c>
      <c r="H617" s="32" t="s">
        <v>2460</v>
      </c>
      <c r="I617" s="25" t="s">
        <v>64</v>
      </c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>
        <v>838269599</v>
      </c>
      <c r="X617" s="26" t="s">
        <v>2461</v>
      </c>
      <c r="Y617" s="25"/>
      <c r="Z617" s="25"/>
      <c r="AA617" s="35"/>
      <c r="AB617" s="25"/>
      <c r="AC617" s="25" t="str">
        <f>TRIM(StudentScore[[#This Row],[Student Email]])</f>
        <v>sira.sit@student.mahidol.ac.th</v>
      </c>
    </row>
    <row r="618" spans="1:29" ht="27">
      <c r="A618" s="15">
        <v>612</v>
      </c>
      <c r="B618" s="33">
        <f t="shared" si="30"/>
        <v>64</v>
      </c>
      <c r="C618" s="27">
        <f t="shared" si="31"/>
        <v>2024</v>
      </c>
      <c r="D618" s="54"/>
      <c r="E618" s="19">
        <v>6488079</v>
      </c>
      <c r="F618" s="20" t="s">
        <v>38</v>
      </c>
      <c r="G618" s="20" t="s">
        <v>2462</v>
      </c>
      <c r="H618" s="32" t="s">
        <v>2463</v>
      </c>
      <c r="I618" s="25" t="s">
        <v>133</v>
      </c>
      <c r="J618" s="25">
        <v>100</v>
      </c>
      <c r="K618" s="25"/>
      <c r="L618" s="25"/>
      <c r="M618" s="25"/>
      <c r="N618" s="25"/>
      <c r="O618" s="25"/>
      <c r="P618" s="25"/>
      <c r="Q618" s="25"/>
      <c r="R618" s="25"/>
      <c r="S618" s="35">
        <v>44499</v>
      </c>
      <c r="T618" s="51">
        <v>44531</v>
      </c>
      <c r="U618" s="25"/>
      <c r="V618" s="25"/>
      <c r="W618" s="25">
        <v>988396603</v>
      </c>
      <c r="X618" s="26" t="s">
        <v>2464</v>
      </c>
      <c r="Y618" s="25"/>
      <c r="Z618" s="25"/>
      <c r="AA618" s="35"/>
      <c r="AB618" s="25"/>
      <c r="AC618" s="25" t="str">
        <f>TRIM(StudentScore[[#This Row],[Student Email]])</f>
        <v>burit.sih@student.mahidol.ac.th</v>
      </c>
    </row>
    <row r="619" spans="1:29" ht="27">
      <c r="A619" s="15">
        <v>613</v>
      </c>
      <c r="B619" s="33">
        <f t="shared" si="30"/>
        <v>64</v>
      </c>
      <c r="C619" s="27">
        <f t="shared" si="31"/>
        <v>2024</v>
      </c>
      <c r="D619" s="54"/>
      <c r="E619" s="19">
        <v>6488080</v>
      </c>
      <c r="F619" s="20" t="s">
        <v>38</v>
      </c>
      <c r="G619" s="20" t="s">
        <v>2465</v>
      </c>
      <c r="H619" s="32" t="s">
        <v>2466</v>
      </c>
      <c r="I619" s="25" t="s">
        <v>124</v>
      </c>
      <c r="J619" s="25">
        <v>6</v>
      </c>
      <c r="K619" s="25">
        <v>6</v>
      </c>
      <c r="L619" s="25">
        <v>6.5</v>
      </c>
      <c r="M619" s="25">
        <v>6</v>
      </c>
      <c r="N619" s="25">
        <v>6</v>
      </c>
      <c r="O619" s="25"/>
      <c r="P619" s="25"/>
      <c r="Q619" s="25"/>
      <c r="R619" s="25"/>
      <c r="S619" s="26">
        <v>44147</v>
      </c>
      <c r="T619" s="26">
        <v>44805</v>
      </c>
      <c r="U619" s="25"/>
      <c r="V619" s="25"/>
      <c r="W619" s="25">
        <v>899007731</v>
      </c>
      <c r="X619" s="26" t="s">
        <v>2467</v>
      </c>
      <c r="Y619" s="25"/>
      <c r="Z619" s="25"/>
      <c r="AA619" s="35"/>
      <c r="AB619" s="25"/>
      <c r="AC619" s="25" t="str">
        <f>TRIM(StudentScore[[#This Row],[Student Email]])</f>
        <v>james.sim@student.mahidol.ac.th</v>
      </c>
    </row>
    <row r="620" spans="1:29" ht="27">
      <c r="A620" s="15">
        <v>614</v>
      </c>
      <c r="B620" s="33">
        <f t="shared" si="30"/>
        <v>64</v>
      </c>
      <c r="C620" s="27">
        <f t="shared" si="31"/>
        <v>2024</v>
      </c>
      <c r="D620" s="54"/>
      <c r="E620" s="19">
        <v>6488081</v>
      </c>
      <c r="F620" s="20" t="s">
        <v>38</v>
      </c>
      <c r="G620" s="20" t="s">
        <v>2468</v>
      </c>
      <c r="H620" s="32" t="s">
        <v>2469</v>
      </c>
      <c r="I620" s="25" t="s">
        <v>64</v>
      </c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>
        <v>830103219</v>
      </c>
      <c r="X620" s="26" t="s">
        <v>2470</v>
      </c>
      <c r="Y620" s="25"/>
      <c r="Z620" s="25"/>
      <c r="AA620" s="35"/>
      <c r="AB620" s="25"/>
      <c r="AC620" s="25" t="str">
        <f>TRIM(StudentScore[[#This Row],[Student Email]])</f>
        <v>pittinunt.sir@student.mahidol.ac.th</v>
      </c>
    </row>
    <row r="621" spans="1:29" ht="27">
      <c r="A621" s="15">
        <v>615</v>
      </c>
      <c r="B621" s="33">
        <f t="shared" si="30"/>
        <v>64</v>
      </c>
      <c r="C621" s="27">
        <f t="shared" si="31"/>
        <v>2024</v>
      </c>
      <c r="D621" s="54"/>
      <c r="E621" s="19">
        <v>6488082</v>
      </c>
      <c r="F621" s="20" t="s">
        <v>38</v>
      </c>
      <c r="G621" s="20" t="s">
        <v>2471</v>
      </c>
      <c r="H621" s="32" t="s">
        <v>2472</v>
      </c>
      <c r="I621" s="25" t="s">
        <v>64</v>
      </c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>
        <v>971235885</v>
      </c>
      <c r="X621" s="26" t="s">
        <v>2473</v>
      </c>
      <c r="Y621" s="25"/>
      <c r="Z621" s="25"/>
      <c r="AA621" s="35"/>
      <c r="AB621" s="25"/>
      <c r="AC621" s="25" t="str">
        <f>TRIM(StudentScore[[#This Row],[Student Email]])</f>
        <v>soravit.sir@student.mahidol.ac.th</v>
      </c>
    </row>
    <row r="622" spans="1:29" ht="27">
      <c r="A622" s="15">
        <v>616</v>
      </c>
      <c r="B622" s="33">
        <f t="shared" si="30"/>
        <v>64</v>
      </c>
      <c r="C622" s="27">
        <f t="shared" si="31"/>
        <v>2024</v>
      </c>
      <c r="D622" s="54"/>
      <c r="E622" s="19">
        <v>6488083</v>
      </c>
      <c r="F622" s="20" t="s">
        <v>117</v>
      </c>
      <c r="G622" s="20" t="s">
        <v>1487</v>
      </c>
      <c r="H622" s="32" t="s">
        <v>2474</v>
      </c>
      <c r="I622" s="25" t="s">
        <v>214</v>
      </c>
      <c r="J622" s="25">
        <v>100</v>
      </c>
      <c r="K622" s="25"/>
      <c r="L622" s="25"/>
      <c r="M622" s="25"/>
      <c r="N622" s="25"/>
      <c r="O622" s="25">
        <v>110</v>
      </c>
      <c r="P622" s="25">
        <v>110</v>
      </c>
      <c r="Q622" s="25">
        <v>80</v>
      </c>
      <c r="R622" s="25">
        <v>80</v>
      </c>
      <c r="S622" s="26">
        <v>44893</v>
      </c>
      <c r="T622" s="35">
        <v>44896</v>
      </c>
      <c r="U622" s="25"/>
      <c r="V622" s="25"/>
      <c r="W622" s="25">
        <v>956397813</v>
      </c>
      <c r="X622" s="26" t="s">
        <v>2475</v>
      </c>
      <c r="Y622" s="42">
        <v>44896.480983796297</v>
      </c>
      <c r="Z622" s="25" t="s">
        <v>2476</v>
      </c>
      <c r="AA622" s="35"/>
      <c r="AB622" s="25"/>
      <c r="AC622" s="25" t="str">
        <f>TRIM(StudentScore[[#This Row],[Student Email]])</f>
        <v>kanyanut.som@student.mahidol.ac.th</v>
      </c>
    </row>
    <row r="623" spans="1:29" ht="27">
      <c r="A623" s="15">
        <v>617</v>
      </c>
      <c r="B623" s="33">
        <f t="shared" si="30"/>
        <v>64</v>
      </c>
      <c r="C623" s="27">
        <f t="shared" si="31"/>
        <v>2024</v>
      </c>
      <c r="D623" s="54"/>
      <c r="E623" s="19">
        <v>6488084</v>
      </c>
      <c r="F623" s="20" t="s">
        <v>38</v>
      </c>
      <c r="G623" s="20" t="s">
        <v>2477</v>
      </c>
      <c r="H623" s="32" t="s">
        <v>2478</v>
      </c>
      <c r="I623" s="25" t="s">
        <v>64</v>
      </c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>
        <v>918174940</v>
      </c>
      <c r="X623" s="26" t="s">
        <v>2479</v>
      </c>
      <c r="Y623" s="25"/>
      <c r="Z623" s="25"/>
      <c r="AA623" s="35"/>
      <c r="AB623" s="25"/>
      <c r="AC623" s="25" t="str">
        <f>TRIM(StudentScore[[#This Row],[Student Email]])</f>
        <v>sithsada.sia@student.mahidol.ac.th</v>
      </c>
    </row>
    <row r="624" spans="1:29" ht="27">
      <c r="A624" s="15">
        <v>618</v>
      </c>
      <c r="B624" s="33">
        <f t="shared" si="30"/>
        <v>64</v>
      </c>
      <c r="C624" s="27">
        <f t="shared" si="31"/>
        <v>2024</v>
      </c>
      <c r="D624" s="54"/>
      <c r="E624" s="19">
        <v>6488085</v>
      </c>
      <c r="F624" s="20" t="s">
        <v>38</v>
      </c>
      <c r="G624" s="20" t="s">
        <v>2480</v>
      </c>
      <c r="H624" s="32" t="s">
        <v>2481</v>
      </c>
      <c r="I624" s="25" t="s">
        <v>64</v>
      </c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>
        <v>982913639</v>
      </c>
      <c r="X624" s="26" t="s">
        <v>2482</v>
      </c>
      <c r="Y624" s="25"/>
      <c r="Z624" s="25"/>
      <c r="AA624" s="35"/>
      <c r="AB624" s="25"/>
      <c r="AC624" s="25" t="str">
        <f>TRIM(StudentScore[[#This Row],[Student Email]])</f>
        <v>bhubodin.som@student.mahidol.ac.th</v>
      </c>
    </row>
    <row r="625" spans="1:29" ht="27">
      <c r="A625" s="15">
        <v>619</v>
      </c>
      <c r="B625" s="33">
        <f t="shared" ref="B625:B688" si="32">VALUE(LEFT(E625,2))</f>
        <v>64</v>
      </c>
      <c r="C625" s="27">
        <f t="shared" ref="C625:C688" si="33">VALUE("25"&amp;B625)-543+3</f>
        <v>2024</v>
      </c>
      <c r="D625" s="54"/>
      <c r="E625" s="19">
        <v>6488086</v>
      </c>
      <c r="F625" s="20" t="s">
        <v>117</v>
      </c>
      <c r="G625" s="20" t="s">
        <v>2483</v>
      </c>
      <c r="H625" s="32" t="s">
        <v>2484</v>
      </c>
      <c r="I625" s="25" t="s">
        <v>124</v>
      </c>
      <c r="J625" s="25">
        <v>5.5</v>
      </c>
      <c r="K625" s="25">
        <v>5.5</v>
      </c>
      <c r="L625" s="25">
        <v>5</v>
      </c>
      <c r="M625" s="25">
        <v>5</v>
      </c>
      <c r="N625" s="25">
        <v>6</v>
      </c>
      <c r="O625" s="25"/>
      <c r="P625" s="25"/>
      <c r="Q625" s="25"/>
      <c r="R625" s="25"/>
      <c r="S625" s="35">
        <v>44492</v>
      </c>
      <c r="T625" s="51">
        <v>44531</v>
      </c>
      <c r="U625" s="25"/>
      <c r="V625" s="25"/>
      <c r="W625" s="25">
        <v>941494551</v>
      </c>
      <c r="X625" s="26" t="s">
        <v>2485</v>
      </c>
      <c r="Y625" s="25"/>
      <c r="Z625" s="25"/>
      <c r="AA625" s="35"/>
      <c r="AB625" s="25"/>
      <c r="AC625" s="25" t="str">
        <f>TRIM(StudentScore[[#This Row],[Student Email]])</f>
        <v>chutweeraya.sri@student.mahidol.ac.th</v>
      </c>
    </row>
    <row r="626" spans="1:29" ht="27">
      <c r="A626" s="15">
        <v>620</v>
      </c>
      <c r="B626" s="33">
        <f t="shared" si="32"/>
        <v>64</v>
      </c>
      <c r="C626" s="27">
        <f t="shared" si="33"/>
        <v>2024</v>
      </c>
      <c r="D626" s="54"/>
      <c r="E626" s="19">
        <v>6488087</v>
      </c>
      <c r="F626" s="20" t="s">
        <v>117</v>
      </c>
      <c r="G626" s="20" t="s">
        <v>2486</v>
      </c>
      <c r="H626" s="32" t="s">
        <v>2487</v>
      </c>
      <c r="I626" s="25" t="s">
        <v>64</v>
      </c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>
        <v>900804598</v>
      </c>
      <c r="X626" s="26" t="s">
        <v>2488</v>
      </c>
      <c r="Y626" s="25"/>
      <c r="Z626" s="25"/>
      <c r="AA626" s="35"/>
      <c r="AB626" s="25"/>
      <c r="AC626" s="25" t="str">
        <f>TRIM(StudentScore[[#This Row],[Student Email]])</f>
        <v>thanatchaya.suj@student.mahidol.ac.th</v>
      </c>
    </row>
    <row r="627" spans="1:29" ht="27">
      <c r="A627" s="15">
        <v>621</v>
      </c>
      <c r="B627" s="33">
        <f t="shared" si="32"/>
        <v>64</v>
      </c>
      <c r="C627" s="27">
        <f t="shared" si="33"/>
        <v>2024</v>
      </c>
      <c r="D627" s="54"/>
      <c r="E627" s="19">
        <v>6488088</v>
      </c>
      <c r="F627" s="20" t="s">
        <v>38</v>
      </c>
      <c r="G627" s="20" t="s">
        <v>2489</v>
      </c>
      <c r="H627" s="32" t="s">
        <v>2490</v>
      </c>
      <c r="I627" s="25" t="s">
        <v>48</v>
      </c>
      <c r="J627" s="25">
        <v>745</v>
      </c>
      <c r="K627" s="25">
        <v>430</v>
      </c>
      <c r="L627" s="25">
        <v>315</v>
      </c>
      <c r="M627" s="25"/>
      <c r="N627" s="25"/>
      <c r="O627" s="25"/>
      <c r="P627" s="25"/>
      <c r="Q627" s="25"/>
      <c r="R627" s="25"/>
      <c r="S627" s="26">
        <v>44965</v>
      </c>
      <c r="T627" s="35">
        <v>44981</v>
      </c>
      <c r="U627" s="25"/>
      <c r="V627" s="25" t="s">
        <v>1</v>
      </c>
      <c r="W627" s="25">
        <v>985845035</v>
      </c>
      <c r="X627" s="26" t="s">
        <v>2491</v>
      </c>
      <c r="Y627" s="42">
        <v>44981.512604166666</v>
      </c>
      <c r="Z627" s="25" t="s">
        <v>2492</v>
      </c>
      <c r="AA627" s="35"/>
      <c r="AB627" s="25"/>
      <c r="AC627" s="25" t="str">
        <f>TRIM(StudentScore[[#This Row],[Student Email]])</f>
        <v>ittikorn.suk@student.mahidol.ac.th</v>
      </c>
    </row>
    <row r="628" spans="1:29" ht="27">
      <c r="A628" s="15">
        <v>622</v>
      </c>
      <c r="B628" s="33">
        <f t="shared" si="32"/>
        <v>64</v>
      </c>
      <c r="C628" s="27">
        <f t="shared" si="33"/>
        <v>2024</v>
      </c>
      <c r="D628" s="54"/>
      <c r="E628" s="19">
        <v>6488089</v>
      </c>
      <c r="F628" s="20" t="s">
        <v>38</v>
      </c>
      <c r="G628" s="20" t="s">
        <v>2493</v>
      </c>
      <c r="H628" s="32" t="s">
        <v>2494</v>
      </c>
      <c r="I628" s="25" t="s">
        <v>53</v>
      </c>
      <c r="J628" s="25">
        <v>106</v>
      </c>
      <c r="K628" s="25">
        <v>51</v>
      </c>
      <c r="L628" s="25">
        <v>55</v>
      </c>
      <c r="M628" s="25"/>
      <c r="N628" s="25"/>
      <c r="O628" s="25"/>
      <c r="P628" s="25"/>
      <c r="Q628" s="25"/>
      <c r="R628" s="25"/>
      <c r="S628" s="26">
        <v>44975</v>
      </c>
      <c r="T628" s="35">
        <v>44994</v>
      </c>
      <c r="U628" s="25"/>
      <c r="V628" s="25"/>
      <c r="W628" s="25">
        <v>823352731</v>
      </c>
      <c r="X628" s="26" t="s">
        <v>2495</v>
      </c>
      <c r="Y628" s="42">
        <v>44994.693761574075</v>
      </c>
      <c r="Z628" s="25" t="s">
        <v>2496</v>
      </c>
      <c r="AA628" s="35"/>
      <c r="AB628" s="25"/>
      <c r="AC628" s="25" t="str">
        <f>TRIM(StudentScore[[#This Row],[Student Email]])</f>
        <v>pattaravit.suk@student.mahidol.ac.th</v>
      </c>
    </row>
    <row r="629" spans="1:29" ht="27">
      <c r="A629" s="15">
        <v>623</v>
      </c>
      <c r="B629" s="33">
        <f t="shared" si="32"/>
        <v>64</v>
      </c>
      <c r="C629" s="27">
        <f t="shared" si="33"/>
        <v>2024</v>
      </c>
      <c r="D629" s="54"/>
      <c r="E629" s="19">
        <v>6488090</v>
      </c>
      <c r="F629" s="20" t="s">
        <v>38</v>
      </c>
      <c r="G629" s="20" t="s">
        <v>2497</v>
      </c>
      <c r="H629" s="32" t="s">
        <v>2498</v>
      </c>
      <c r="I629" s="25" t="s">
        <v>41</v>
      </c>
      <c r="J629" s="25">
        <v>590</v>
      </c>
      <c r="K629" s="25">
        <v>59</v>
      </c>
      <c r="L629" s="25">
        <v>60</v>
      </c>
      <c r="M629" s="25">
        <v>58</v>
      </c>
      <c r="N629" s="25"/>
      <c r="O629" s="25"/>
      <c r="P629" s="25"/>
      <c r="Q629" s="25"/>
      <c r="R629" s="25"/>
      <c r="S629" s="35">
        <v>44347</v>
      </c>
      <c r="T629" s="51">
        <v>44378</v>
      </c>
      <c r="U629" s="25"/>
      <c r="V629" s="25"/>
      <c r="W629" s="25">
        <v>655617595</v>
      </c>
      <c r="X629" s="26" t="s">
        <v>2499</v>
      </c>
      <c r="Y629" s="25"/>
      <c r="Z629" s="25"/>
      <c r="AA629" s="35"/>
      <c r="AB629" s="25"/>
      <c r="AC629" s="25" t="str">
        <f>TRIM(StudentScore[[#This Row],[Student Email]])</f>
        <v>thanadol.sum@student.mahidol.ac.th</v>
      </c>
    </row>
    <row r="630" spans="1:29" ht="27">
      <c r="A630" s="15">
        <v>624</v>
      </c>
      <c r="B630" s="33">
        <f t="shared" si="32"/>
        <v>64</v>
      </c>
      <c r="C630" s="27">
        <f t="shared" si="33"/>
        <v>2024</v>
      </c>
      <c r="D630" s="54"/>
      <c r="E630" s="19">
        <v>6488091</v>
      </c>
      <c r="F630" s="20" t="s">
        <v>38</v>
      </c>
      <c r="G630" s="20" t="s">
        <v>2500</v>
      </c>
      <c r="H630" s="32" t="s">
        <v>2501</v>
      </c>
      <c r="I630" s="25" t="s">
        <v>41</v>
      </c>
      <c r="J630" s="25">
        <v>597</v>
      </c>
      <c r="K630" s="25">
        <v>63</v>
      </c>
      <c r="L630" s="25">
        <v>61</v>
      </c>
      <c r="M630" s="25">
        <v>55</v>
      </c>
      <c r="N630" s="25"/>
      <c r="O630" s="25"/>
      <c r="P630" s="25"/>
      <c r="Q630" s="25"/>
      <c r="R630" s="25"/>
      <c r="S630" s="35">
        <v>44347</v>
      </c>
      <c r="T630" s="51">
        <v>44378</v>
      </c>
      <c r="U630" s="25"/>
      <c r="V630" s="25"/>
      <c r="W630" s="25">
        <v>982583462</v>
      </c>
      <c r="X630" s="26" t="s">
        <v>2502</v>
      </c>
      <c r="Y630" s="25"/>
      <c r="Z630" s="25"/>
      <c r="AA630" s="35"/>
      <c r="AB630" s="25"/>
      <c r="AC630" s="25" t="str">
        <f>TRIM(StudentScore[[#This Row],[Student Email]])</f>
        <v>tulagarn.sor@student.mahidol.ac.th</v>
      </c>
    </row>
    <row r="631" spans="1:29" ht="27">
      <c r="A631" s="15">
        <v>625</v>
      </c>
      <c r="B631" s="33">
        <f t="shared" si="32"/>
        <v>64</v>
      </c>
      <c r="C631" s="27">
        <f t="shared" si="33"/>
        <v>2024</v>
      </c>
      <c r="D631" s="54"/>
      <c r="E631" s="19">
        <v>6488092</v>
      </c>
      <c r="F631" s="20" t="s">
        <v>38</v>
      </c>
      <c r="G631" s="20" t="s">
        <v>2500</v>
      </c>
      <c r="H631" s="32" t="s">
        <v>2503</v>
      </c>
      <c r="I631" s="25" t="s">
        <v>124</v>
      </c>
      <c r="J631" s="25">
        <v>6</v>
      </c>
      <c r="K631" s="25">
        <v>6.5</v>
      </c>
      <c r="L631" s="25">
        <v>6</v>
      </c>
      <c r="M631" s="25">
        <v>5.5</v>
      </c>
      <c r="N631" s="25">
        <v>5.5</v>
      </c>
      <c r="O631" s="25"/>
      <c r="P631" s="25"/>
      <c r="Q631" s="25"/>
      <c r="R631" s="25"/>
      <c r="S631" s="35">
        <v>44402</v>
      </c>
      <c r="T631" s="51">
        <v>44531</v>
      </c>
      <c r="U631" s="25"/>
      <c r="V631" s="25"/>
      <c r="W631" s="25">
        <v>955369514</v>
      </c>
      <c r="X631" s="26" t="s">
        <v>2504</v>
      </c>
      <c r="Y631" s="25"/>
      <c r="Z631" s="25"/>
      <c r="AA631" s="35"/>
      <c r="AB631" s="25"/>
      <c r="AC631" s="25" t="str">
        <f>TRIM(StudentScore[[#This Row],[Student Email]])</f>
        <v>thanaphat.sum@student.mahidol.ac.th</v>
      </c>
    </row>
    <row r="632" spans="1:29" ht="27">
      <c r="A632" s="15">
        <v>626</v>
      </c>
      <c r="B632" s="33">
        <f t="shared" si="32"/>
        <v>64</v>
      </c>
      <c r="C632" s="27">
        <f t="shared" si="33"/>
        <v>2024</v>
      </c>
      <c r="D632" s="54"/>
      <c r="E632" s="19">
        <v>6488093</v>
      </c>
      <c r="F632" s="20" t="s">
        <v>38</v>
      </c>
      <c r="G632" s="20" t="s">
        <v>2505</v>
      </c>
      <c r="H632" s="32" t="s">
        <v>2506</v>
      </c>
      <c r="I632" s="25" t="s">
        <v>244</v>
      </c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>
        <v>804486799</v>
      </c>
      <c r="X632" s="26" t="s">
        <v>2507</v>
      </c>
      <c r="Y632" s="25"/>
      <c r="Z632" s="25"/>
      <c r="AA632" s="35"/>
      <c r="AB632" s="25"/>
      <c r="AC632" s="25" t="str">
        <f>TRIM(StudentScore[[#This Row],[Student Email]])</f>
        <v>nattawat.sur@student.mahidol.ac.th</v>
      </c>
    </row>
    <row r="633" spans="1:29" ht="27">
      <c r="A633" s="15">
        <v>627</v>
      </c>
      <c r="B633" s="33">
        <f t="shared" si="32"/>
        <v>64</v>
      </c>
      <c r="C633" s="27">
        <f t="shared" si="33"/>
        <v>2024</v>
      </c>
      <c r="D633" s="54"/>
      <c r="E633" s="19">
        <v>6488094</v>
      </c>
      <c r="F633" s="20" t="s">
        <v>117</v>
      </c>
      <c r="G633" s="20" t="s">
        <v>2508</v>
      </c>
      <c r="H633" s="32" t="s">
        <v>1139</v>
      </c>
      <c r="I633" s="25" t="s">
        <v>64</v>
      </c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>
        <v>990565553</v>
      </c>
      <c r="X633" s="26" t="s">
        <v>2509</v>
      </c>
      <c r="Y633" s="25"/>
      <c r="Z633" s="25"/>
      <c r="AA633" s="35"/>
      <c r="AB633" s="25"/>
      <c r="AC633" s="25" t="str">
        <f>TRIM(StudentScore[[#This Row],[Student Email]])</f>
        <v>saranya.sut@student.mahidol.ac.th</v>
      </c>
    </row>
    <row r="634" spans="1:29" ht="27">
      <c r="A634" s="15">
        <v>628</v>
      </c>
      <c r="B634" s="33">
        <f t="shared" si="32"/>
        <v>64</v>
      </c>
      <c r="C634" s="27">
        <f t="shared" si="33"/>
        <v>2024</v>
      </c>
      <c r="D634" s="54"/>
      <c r="E634" s="19">
        <v>6488095</v>
      </c>
      <c r="F634" s="20" t="s">
        <v>117</v>
      </c>
      <c r="G634" s="20" t="s">
        <v>2510</v>
      </c>
      <c r="H634" s="32" t="s">
        <v>2511</v>
      </c>
      <c r="I634" s="25" t="s">
        <v>64</v>
      </c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>
        <v>949983205</v>
      </c>
      <c r="X634" s="26" t="s">
        <v>2512</v>
      </c>
      <c r="Y634" s="25"/>
      <c r="Z634" s="25"/>
      <c r="AA634" s="35"/>
      <c r="AB634" s="25"/>
      <c r="AC634" s="25" t="str">
        <f>TRIM(StudentScore[[#This Row],[Student Email]])</f>
        <v>panyaporn.suw@student.mahidol.ac.th</v>
      </c>
    </row>
    <row r="635" spans="1:29" ht="27">
      <c r="A635" s="15">
        <v>629</v>
      </c>
      <c r="B635" s="33">
        <f t="shared" si="32"/>
        <v>64</v>
      </c>
      <c r="C635" s="27">
        <f t="shared" si="33"/>
        <v>2024</v>
      </c>
      <c r="D635" s="54"/>
      <c r="E635" s="19">
        <v>6488096</v>
      </c>
      <c r="F635" s="20" t="s">
        <v>38</v>
      </c>
      <c r="G635" s="20" t="s">
        <v>2513</v>
      </c>
      <c r="H635" s="32" t="s">
        <v>2514</v>
      </c>
      <c r="I635" s="25" t="s">
        <v>64</v>
      </c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>
        <v>996296241</v>
      </c>
      <c r="X635" s="26" t="s">
        <v>2515</v>
      </c>
      <c r="Y635" s="25"/>
      <c r="Z635" s="25"/>
      <c r="AA635" s="35"/>
      <c r="AB635" s="25"/>
      <c r="AC635" s="25" t="str">
        <f>TRIM(StudentScore[[#This Row],[Student Email]])</f>
        <v>peerapong.tat@student.mahidol.ac.th</v>
      </c>
    </row>
    <row r="636" spans="1:29" ht="27">
      <c r="A636" s="15">
        <v>630</v>
      </c>
      <c r="B636" s="33">
        <f t="shared" si="32"/>
        <v>64</v>
      </c>
      <c r="C636" s="27">
        <f t="shared" si="33"/>
        <v>2024</v>
      </c>
      <c r="D636" s="54"/>
      <c r="E636" s="19">
        <v>6488097</v>
      </c>
      <c r="F636" s="20" t="s">
        <v>117</v>
      </c>
      <c r="G636" s="20" t="s">
        <v>2516</v>
      </c>
      <c r="H636" s="32" t="s">
        <v>2517</v>
      </c>
      <c r="I636" s="25" t="s">
        <v>64</v>
      </c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>
        <v>955939085</v>
      </c>
      <c r="X636" s="26" t="s">
        <v>2518</v>
      </c>
      <c r="Y636" s="25"/>
      <c r="Z636" s="25"/>
      <c r="AA636" s="35"/>
      <c r="AB636" s="25"/>
      <c r="AC636" s="25" t="str">
        <f>TRIM(StudentScore[[#This Row],[Student Email]])</f>
        <v>busayawadee.sup@student.mahidol.ac.th</v>
      </c>
    </row>
    <row r="637" spans="1:29" ht="27">
      <c r="A637" s="15">
        <v>631</v>
      </c>
      <c r="B637" s="33">
        <f t="shared" si="32"/>
        <v>64</v>
      </c>
      <c r="C637" s="27">
        <f t="shared" si="33"/>
        <v>2024</v>
      </c>
      <c r="D637" s="54"/>
      <c r="E637" s="19">
        <v>6488098</v>
      </c>
      <c r="F637" s="20" t="s">
        <v>117</v>
      </c>
      <c r="G637" s="20" t="s">
        <v>2519</v>
      </c>
      <c r="H637" s="32" t="s">
        <v>2520</v>
      </c>
      <c r="I637" s="25" t="s">
        <v>64</v>
      </c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>
        <v>972357445</v>
      </c>
      <c r="X637" s="26" t="s">
        <v>2521</v>
      </c>
      <c r="Y637" s="25"/>
      <c r="Z637" s="25"/>
      <c r="AA637" s="35"/>
      <c r="AB637" s="25"/>
      <c r="AC637" s="25" t="str">
        <f>TRIM(StudentScore[[#This Row],[Student Email]])</f>
        <v>chanayacha.sur@student.mahidol.ac.th</v>
      </c>
    </row>
    <row r="638" spans="1:29" ht="27">
      <c r="A638" s="15">
        <v>632</v>
      </c>
      <c r="B638" s="33">
        <f t="shared" si="32"/>
        <v>64</v>
      </c>
      <c r="C638" s="27">
        <f t="shared" si="33"/>
        <v>2024</v>
      </c>
      <c r="D638" s="54"/>
      <c r="E638" s="19">
        <v>6488099</v>
      </c>
      <c r="F638" s="20" t="s">
        <v>38</v>
      </c>
      <c r="G638" s="20" t="s">
        <v>2522</v>
      </c>
      <c r="H638" s="32" t="s">
        <v>2523</v>
      </c>
      <c r="I638" s="25" t="s">
        <v>64</v>
      </c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>
        <v>994654159</v>
      </c>
      <c r="X638" s="26" t="s">
        <v>2524</v>
      </c>
      <c r="Y638" s="25"/>
      <c r="Z638" s="25"/>
      <c r="AA638" s="35"/>
      <c r="AB638" s="25"/>
      <c r="AC638" s="25" t="str">
        <f>TRIM(StudentScore[[#This Row],[Student Email]])</f>
        <v>yotsapat.tan@student.mahidol.ac.th</v>
      </c>
    </row>
    <row r="639" spans="1:29" ht="27">
      <c r="A639" s="15">
        <v>633</v>
      </c>
      <c r="B639" s="33">
        <f t="shared" si="32"/>
        <v>64</v>
      </c>
      <c r="C639" s="27">
        <f t="shared" si="33"/>
        <v>2024</v>
      </c>
      <c r="D639" s="54"/>
      <c r="E639" s="19">
        <v>6488100</v>
      </c>
      <c r="F639" s="20" t="s">
        <v>117</v>
      </c>
      <c r="G639" s="20" t="s">
        <v>2525</v>
      </c>
      <c r="H639" s="32" t="s">
        <v>2526</v>
      </c>
      <c r="I639" s="25" t="s">
        <v>64</v>
      </c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>
        <v>955641614</v>
      </c>
      <c r="X639" s="26" t="s">
        <v>2527</v>
      </c>
      <c r="Y639" s="25"/>
      <c r="Z639" s="25"/>
      <c r="AA639" s="35"/>
      <c r="AB639" s="25"/>
      <c r="AC639" s="25" t="str">
        <f>TRIM(StudentScore[[#This Row],[Student Email]])</f>
        <v>jiraruch.tan@student.mahidol.ac.th</v>
      </c>
    </row>
    <row r="640" spans="1:29" ht="27">
      <c r="A640" s="15">
        <v>634</v>
      </c>
      <c r="B640" s="33">
        <f t="shared" si="32"/>
        <v>64</v>
      </c>
      <c r="C640" s="27">
        <f t="shared" si="33"/>
        <v>2024</v>
      </c>
      <c r="D640" s="54"/>
      <c r="E640" s="19">
        <v>6488101</v>
      </c>
      <c r="F640" s="20" t="s">
        <v>38</v>
      </c>
      <c r="G640" s="20" t="s">
        <v>2528</v>
      </c>
      <c r="H640" s="32" t="s">
        <v>2529</v>
      </c>
      <c r="I640" s="25" t="s">
        <v>64</v>
      </c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>
        <v>623152855</v>
      </c>
      <c r="X640" s="26" t="s">
        <v>2530</v>
      </c>
      <c r="Y640" s="25"/>
      <c r="Z640" s="25"/>
      <c r="AA640" s="35"/>
      <c r="AB640" s="25"/>
      <c r="AC640" s="25" t="str">
        <f>TRIM(StudentScore[[#This Row],[Student Email]])</f>
        <v>supavit.tou@student.mahidol.ac.th</v>
      </c>
    </row>
    <row r="641" spans="1:29" ht="27">
      <c r="A641" s="15">
        <v>635</v>
      </c>
      <c r="B641" s="33">
        <f t="shared" si="32"/>
        <v>64</v>
      </c>
      <c r="C641" s="27">
        <f t="shared" si="33"/>
        <v>2024</v>
      </c>
      <c r="D641" s="54"/>
      <c r="E641" s="19">
        <v>6488102</v>
      </c>
      <c r="F641" s="20" t="s">
        <v>38</v>
      </c>
      <c r="G641" s="20" t="s">
        <v>2531</v>
      </c>
      <c r="H641" s="32" t="s">
        <v>2532</v>
      </c>
      <c r="I641" s="25" t="s">
        <v>64</v>
      </c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>
        <v>612501009</v>
      </c>
      <c r="X641" s="26" t="s">
        <v>2533</v>
      </c>
      <c r="Y641" s="25"/>
      <c r="Z641" s="25"/>
      <c r="AA641" s="35"/>
      <c r="AB641" s="25"/>
      <c r="AC641" s="25" t="str">
        <f>TRIM(StudentScore[[#This Row],[Student Email]])</f>
        <v>techin.wan@student.mahidol.ac.th</v>
      </c>
    </row>
    <row r="642" spans="1:29" ht="27">
      <c r="A642" s="15">
        <v>636</v>
      </c>
      <c r="B642" s="33">
        <f t="shared" si="32"/>
        <v>64</v>
      </c>
      <c r="C642" s="27">
        <f t="shared" si="33"/>
        <v>2024</v>
      </c>
      <c r="D642" s="54"/>
      <c r="E642" s="19">
        <v>6488103</v>
      </c>
      <c r="F642" s="20" t="s">
        <v>117</v>
      </c>
      <c r="G642" s="20" t="s">
        <v>2510</v>
      </c>
      <c r="H642" s="32" t="s">
        <v>2188</v>
      </c>
      <c r="I642" s="25" t="s">
        <v>64</v>
      </c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>
        <v>890092111</v>
      </c>
      <c r="X642" s="26" t="s">
        <v>2534</v>
      </c>
      <c r="Y642" s="25"/>
      <c r="Z642" s="25"/>
      <c r="AA642" s="35"/>
      <c r="AB642" s="25"/>
      <c r="AC642" s="25" t="str">
        <f>TRIM(StudentScore[[#This Row],[Student Email]])</f>
        <v>panyaporn.wan@student.mahidol.ac.th</v>
      </c>
    </row>
    <row r="643" spans="1:29" ht="27">
      <c r="A643" s="15">
        <v>637</v>
      </c>
      <c r="B643" s="33">
        <f t="shared" si="32"/>
        <v>64</v>
      </c>
      <c r="C643" s="27">
        <f t="shared" si="33"/>
        <v>2024</v>
      </c>
      <c r="D643" s="54"/>
      <c r="E643" s="19">
        <v>6488104</v>
      </c>
      <c r="F643" s="20" t="s">
        <v>38</v>
      </c>
      <c r="G643" s="20" t="s">
        <v>2535</v>
      </c>
      <c r="H643" s="32" t="s">
        <v>2536</v>
      </c>
      <c r="I643" s="25" t="s">
        <v>41</v>
      </c>
      <c r="J643" s="25">
        <v>540</v>
      </c>
      <c r="K643" s="25">
        <v>54</v>
      </c>
      <c r="L643" s="25">
        <v>57</v>
      </c>
      <c r="M643" s="25">
        <v>51</v>
      </c>
      <c r="N643" s="25"/>
      <c r="O643" s="25"/>
      <c r="P643" s="25"/>
      <c r="Q643" s="25"/>
      <c r="R643" s="25"/>
      <c r="S643" s="35">
        <v>44347</v>
      </c>
      <c r="T643" s="51">
        <v>44378</v>
      </c>
      <c r="U643" s="25"/>
      <c r="V643" s="25"/>
      <c r="W643" s="25">
        <v>634213899</v>
      </c>
      <c r="X643" s="26" t="s">
        <v>2537</v>
      </c>
      <c r="Y643" s="25"/>
      <c r="Z643" s="25"/>
      <c r="AA643" s="35"/>
      <c r="AB643" s="25"/>
      <c r="AC643" s="25" t="str">
        <f>TRIM(StudentScore[[#This Row],[Student Email]])</f>
        <v>punnaruj.wut@student.mahidol.ac.th</v>
      </c>
    </row>
    <row r="644" spans="1:29" ht="27">
      <c r="A644" s="15">
        <v>638</v>
      </c>
      <c r="B644" s="33">
        <f t="shared" si="32"/>
        <v>64</v>
      </c>
      <c r="C644" s="27">
        <f t="shared" si="33"/>
        <v>2024</v>
      </c>
      <c r="D644" s="54"/>
      <c r="E644" s="19">
        <v>6488105</v>
      </c>
      <c r="F644" s="20" t="s">
        <v>117</v>
      </c>
      <c r="G644" s="20" t="s">
        <v>2538</v>
      </c>
      <c r="H644" s="32" t="s">
        <v>2539</v>
      </c>
      <c r="I644" s="25" t="s">
        <v>64</v>
      </c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>
        <v>935525878</v>
      </c>
      <c r="X644" s="26" t="s">
        <v>2540</v>
      </c>
      <c r="Y644" s="25"/>
      <c r="Z644" s="25"/>
      <c r="AA644" s="35"/>
      <c r="AB644" s="25"/>
      <c r="AC644" s="25" t="str">
        <f>TRIM(StudentScore[[#This Row],[Student Email]])</f>
        <v>kantinan.yon@student.mahidol.ac.th</v>
      </c>
    </row>
    <row r="645" spans="1:29" ht="27">
      <c r="A645" s="15">
        <v>639</v>
      </c>
      <c r="B645" s="33">
        <f t="shared" si="32"/>
        <v>64</v>
      </c>
      <c r="C645" s="27">
        <f t="shared" si="33"/>
        <v>2024</v>
      </c>
      <c r="D645" s="54"/>
      <c r="E645" s="19">
        <v>6488106</v>
      </c>
      <c r="F645" s="20" t="s">
        <v>117</v>
      </c>
      <c r="G645" s="20" t="s">
        <v>2541</v>
      </c>
      <c r="H645" s="32" t="s">
        <v>2542</v>
      </c>
      <c r="I645" s="25" t="s">
        <v>124</v>
      </c>
      <c r="J645" s="25">
        <v>6.5</v>
      </c>
      <c r="K645" s="25">
        <v>6.5</v>
      </c>
      <c r="L645" s="25">
        <v>6.5</v>
      </c>
      <c r="M645" s="25">
        <v>6</v>
      </c>
      <c r="N645" s="25">
        <v>6</v>
      </c>
      <c r="O645" s="25"/>
      <c r="P645" s="25"/>
      <c r="Q645" s="25"/>
      <c r="R645" s="25"/>
      <c r="S645" s="35">
        <v>44083</v>
      </c>
      <c r="T645" s="51">
        <v>44378</v>
      </c>
      <c r="U645" s="25"/>
      <c r="V645" s="25"/>
      <c r="W645" s="25">
        <v>955508996</v>
      </c>
      <c r="X645" s="26" t="s">
        <v>2543</v>
      </c>
      <c r="Y645" s="25"/>
      <c r="Z645" s="25"/>
      <c r="AA645" s="35"/>
      <c r="AB645" s="25"/>
      <c r="AC645" s="25" t="str">
        <f>TRIM(StudentScore[[#This Row],[Student Email]])</f>
        <v>ratsorn.thn@student.mahidol.ac.th</v>
      </c>
    </row>
    <row r="646" spans="1:29" ht="27">
      <c r="A646" s="15">
        <v>640</v>
      </c>
      <c r="B646" s="33">
        <f t="shared" si="32"/>
        <v>64</v>
      </c>
      <c r="C646" s="27">
        <f t="shared" si="33"/>
        <v>2024</v>
      </c>
      <c r="D646" s="54"/>
      <c r="E646" s="19">
        <v>6488108</v>
      </c>
      <c r="F646" s="20" t="s">
        <v>38</v>
      </c>
      <c r="G646" s="20" t="s">
        <v>2544</v>
      </c>
      <c r="H646" s="32" t="s">
        <v>2545</v>
      </c>
      <c r="I646" s="25" t="s">
        <v>64</v>
      </c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>
        <v>631916970</v>
      </c>
      <c r="X646" s="26" t="s">
        <v>2546</v>
      </c>
      <c r="Y646" s="25"/>
      <c r="Z646" s="25"/>
      <c r="AA646" s="35"/>
      <c r="AB646" s="25"/>
      <c r="AC646" s="25" t="str">
        <f>TRIM(StudentScore[[#This Row],[Student Email]])</f>
        <v>sirapath.tha@student.mahidol.ac.th</v>
      </c>
    </row>
    <row r="647" spans="1:29" ht="27">
      <c r="A647" s="15">
        <v>641</v>
      </c>
      <c r="B647" s="33">
        <f t="shared" si="32"/>
        <v>64</v>
      </c>
      <c r="C647" s="27">
        <f t="shared" si="33"/>
        <v>2024</v>
      </c>
      <c r="D647" s="54"/>
      <c r="E647" s="19">
        <v>6488109</v>
      </c>
      <c r="F647" s="20" t="s">
        <v>38</v>
      </c>
      <c r="G647" s="20" t="s">
        <v>2547</v>
      </c>
      <c r="H647" s="32" t="s">
        <v>2548</v>
      </c>
      <c r="I647" s="25" t="s">
        <v>53</v>
      </c>
      <c r="J647" s="25">
        <v>110</v>
      </c>
      <c r="K647" s="25"/>
      <c r="L647" s="25"/>
      <c r="M647" s="25"/>
      <c r="N647" s="25"/>
      <c r="O647" s="25"/>
      <c r="P647" s="25"/>
      <c r="Q647" s="25"/>
      <c r="R647" s="25"/>
      <c r="S647" s="35">
        <v>44807</v>
      </c>
      <c r="T647" s="35">
        <v>44945</v>
      </c>
      <c r="U647" s="25"/>
      <c r="V647" s="25"/>
      <c r="W647" s="25">
        <v>968587679</v>
      </c>
      <c r="X647" s="26" t="s">
        <v>2549</v>
      </c>
      <c r="Y647" s="25"/>
      <c r="Z647" s="25"/>
      <c r="AA647" s="35"/>
      <c r="AB647" s="25"/>
      <c r="AC647" s="25" t="str">
        <f>TRIM(StudentScore[[#This Row],[Student Email]])</f>
        <v>pith.tha@student.mahidol.ac.th</v>
      </c>
    </row>
    <row r="648" spans="1:29" ht="27">
      <c r="A648" s="15">
        <v>642</v>
      </c>
      <c r="B648" s="33">
        <f t="shared" si="32"/>
        <v>64</v>
      </c>
      <c r="C648" s="27">
        <f t="shared" si="33"/>
        <v>2024</v>
      </c>
      <c r="D648" s="54"/>
      <c r="E648" s="19">
        <v>6488110</v>
      </c>
      <c r="F648" s="20" t="s">
        <v>117</v>
      </c>
      <c r="G648" s="20" t="s">
        <v>2550</v>
      </c>
      <c r="H648" s="32" t="s">
        <v>2551</v>
      </c>
      <c r="I648" s="25" t="s">
        <v>214</v>
      </c>
      <c r="J648" s="25">
        <v>90</v>
      </c>
      <c r="K648" s="25"/>
      <c r="L648" s="25"/>
      <c r="M648" s="25"/>
      <c r="N648" s="25"/>
      <c r="O648" s="25">
        <v>95</v>
      </c>
      <c r="P648" s="25">
        <v>75</v>
      </c>
      <c r="Q648" s="25">
        <v>100</v>
      </c>
      <c r="R648" s="25">
        <v>65</v>
      </c>
      <c r="S648" s="26">
        <v>44524</v>
      </c>
      <c r="T648" s="25"/>
      <c r="U648" s="25"/>
      <c r="V648" s="25"/>
      <c r="W648" s="25">
        <v>841391789</v>
      </c>
      <c r="X648" s="26" t="s">
        <v>2552</v>
      </c>
      <c r="Y648" s="42">
        <v>44736.3906712963</v>
      </c>
      <c r="Z648" s="25" t="s">
        <v>2553</v>
      </c>
      <c r="AA648" s="35"/>
      <c r="AB648" s="25"/>
      <c r="AC648" s="25" t="str">
        <f>TRIM(StudentScore[[#This Row],[Student Email]])</f>
        <v>pattaraporn.ton@student.mahidol.ac.th</v>
      </c>
    </row>
    <row r="649" spans="1:29" ht="27">
      <c r="A649" s="15">
        <v>643</v>
      </c>
      <c r="B649" s="33">
        <f t="shared" si="32"/>
        <v>64</v>
      </c>
      <c r="C649" s="27">
        <f t="shared" si="33"/>
        <v>2024</v>
      </c>
      <c r="D649" s="54"/>
      <c r="E649" s="19">
        <v>6488111</v>
      </c>
      <c r="F649" s="20" t="s">
        <v>117</v>
      </c>
      <c r="G649" s="20" t="s">
        <v>2554</v>
      </c>
      <c r="H649" s="32" t="s">
        <v>2555</v>
      </c>
      <c r="I649" s="25" t="s">
        <v>64</v>
      </c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>
        <v>863949215</v>
      </c>
      <c r="X649" s="26" t="s">
        <v>2556</v>
      </c>
      <c r="Y649" s="25"/>
      <c r="Z649" s="25"/>
      <c r="AA649" s="35"/>
      <c r="AB649" s="25"/>
      <c r="AC649" s="25" t="str">
        <f>TRIM(StudentScore[[#This Row],[Student Email]])</f>
        <v>tunjeera.wan@student.mahidol.ac.th</v>
      </c>
    </row>
    <row r="650" spans="1:29" ht="27">
      <c r="A650" s="15">
        <v>644</v>
      </c>
      <c r="B650" s="33">
        <f t="shared" si="32"/>
        <v>64</v>
      </c>
      <c r="C650" s="27">
        <f t="shared" si="33"/>
        <v>2024</v>
      </c>
      <c r="D650" s="54"/>
      <c r="E650" s="19">
        <v>6488112</v>
      </c>
      <c r="F650" s="20" t="s">
        <v>38</v>
      </c>
      <c r="G650" s="20" t="s">
        <v>2557</v>
      </c>
      <c r="H650" s="32" t="s">
        <v>2558</v>
      </c>
      <c r="I650" s="25" t="s">
        <v>41</v>
      </c>
      <c r="J650" s="25">
        <v>557</v>
      </c>
      <c r="K650" s="25">
        <v>58</v>
      </c>
      <c r="L650" s="25">
        <v>56</v>
      </c>
      <c r="M650" s="25">
        <v>53</v>
      </c>
      <c r="N650" s="25"/>
      <c r="O650" s="25"/>
      <c r="P650" s="25"/>
      <c r="Q650" s="25"/>
      <c r="R650" s="25"/>
      <c r="S650" s="35">
        <v>44347</v>
      </c>
      <c r="T650" s="51">
        <v>44378</v>
      </c>
      <c r="U650" s="25"/>
      <c r="V650" s="25"/>
      <c r="W650" s="25">
        <v>988285782</v>
      </c>
      <c r="X650" s="26" t="s">
        <v>2559</v>
      </c>
      <c r="Y650" s="25"/>
      <c r="Z650" s="25"/>
      <c r="AA650" s="35"/>
      <c r="AB650" s="25"/>
      <c r="AC650" s="25" t="str">
        <f>TRIM(StudentScore[[#This Row],[Student Email]])</f>
        <v>napatara.wan@student.mahidol.ac.th</v>
      </c>
    </row>
    <row r="651" spans="1:29" ht="27">
      <c r="A651" s="15">
        <v>645</v>
      </c>
      <c r="B651" s="33">
        <f t="shared" si="32"/>
        <v>64</v>
      </c>
      <c r="C651" s="27">
        <f t="shared" si="33"/>
        <v>2024</v>
      </c>
      <c r="D651" s="54"/>
      <c r="E651" s="19">
        <v>6488113</v>
      </c>
      <c r="F651" s="20" t="s">
        <v>38</v>
      </c>
      <c r="G651" s="20" t="s">
        <v>2560</v>
      </c>
      <c r="H651" s="32" t="s">
        <v>2561</v>
      </c>
      <c r="I651" s="25" t="s">
        <v>64</v>
      </c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>
        <v>914147850</v>
      </c>
      <c r="X651" s="26" t="s">
        <v>2562</v>
      </c>
      <c r="Y651" s="25"/>
      <c r="Z651" s="25"/>
      <c r="AA651" s="35"/>
      <c r="AB651" s="25"/>
      <c r="AC651" s="25" t="str">
        <f>TRIM(StudentScore[[#This Row],[Student Email]])</f>
        <v>withsarut.wut@student.mahidol.ac.th</v>
      </c>
    </row>
    <row r="652" spans="1:29" ht="27">
      <c r="A652" s="15">
        <v>646</v>
      </c>
      <c r="B652" s="33">
        <f t="shared" si="32"/>
        <v>64</v>
      </c>
      <c r="C652" s="27">
        <f t="shared" si="33"/>
        <v>2024</v>
      </c>
      <c r="D652" s="54"/>
      <c r="E652" s="19">
        <v>6488114</v>
      </c>
      <c r="F652" s="20" t="s">
        <v>38</v>
      </c>
      <c r="G652" s="20" t="s">
        <v>2563</v>
      </c>
      <c r="H652" s="32" t="s">
        <v>2564</v>
      </c>
      <c r="I652" s="25" t="s">
        <v>64</v>
      </c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>
        <v>970042628</v>
      </c>
      <c r="X652" s="26" t="s">
        <v>2565</v>
      </c>
      <c r="Y652" s="25"/>
      <c r="Z652" s="25"/>
      <c r="AA652" s="35"/>
      <c r="AB652" s="25"/>
      <c r="AC652" s="25" t="str">
        <f>TRIM(StudentScore[[#This Row],[Student Email]])</f>
        <v>puwadon.wut@student.mahidol.ac.th</v>
      </c>
    </row>
    <row r="653" spans="1:29" ht="27">
      <c r="A653" s="15">
        <v>647</v>
      </c>
      <c r="B653" s="33">
        <f t="shared" si="32"/>
        <v>64</v>
      </c>
      <c r="C653" s="27">
        <f t="shared" si="33"/>
        <v>2024</v>
      </c>
      <c r="D653" s="54"/>
      <c r="E653" s="19">
        <v>6488117</v>
      </c>
      <c r="F653" s="20" t="s">
        <v>38</v>
      </c>
      <c r="G653" s="20" t="s">
        <v>2566</v>
      </c>
      <c r="H653" s="32" t="s">
        <v>2567</v>
      </c>
      <c r="I653" s="25" t="s">
        <v>64</v>
      </c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>
        <v>809592592</v>
      </c>
      <c r="X653" s="26" t="s">
        <v>2568</v>
      </c>
      <c r="Y653" s="25"/>
      <c r="Z653" s="25"/>
      <c r="AA653" s="35"/>
      <c r="AB653" s="25"/>
      <c r="AC653" s="25" t="str">
        <f>TRIM(StudentScore[[#This Row],[Student Email]])</f>
        <v>supakit.bur@student.mahidol.ac.th</v>
      </c>
    </row>
    <row r="654" spans="1:29" ht="27">
      <c r="A654" s="15">
        <v>648</v>
      </c>
      <c r="B654" s="33">
        <f t="shared" si="32"/>
        <v>64</v>
      </c>
      <c r="C654" s="27">
        <f t="shared" si="33"/>
        <v>2024</v>
      </c>
      <c r="D654" s="54"/>
      <c r="E654" s="19">
        <v>6488118</v>
      </c>
      <c r="F654" s="20" t="s">
        <v>38</v>
      </c>
      <c r="G654" s="20" t="s">
        <v>2569</v>
      </c>
      <c r="H654" s="32" t="s">
        <v>2570</v>
      </c>
      <c r="I654" s="25" t="s">
        <v>64</v>
      </c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>
        <v>828656484</v>
      </c>
      <c r="X654" s="26" t="s">
        <v>2571</v>
      </c>
      <c r="Y654" s="25"/>
      <c r="Z654" s="25"/>
      <c r="AA654" s="35"/>
      <c r="AB654" s="25"/>
      <c r="AC654" s="25" t="str">
        <f>TRIM(StudentScore[[#This Row],[Student Email]])</f>
        <v>jiruch.cha@student.mahidol.ac.th</v>
      </c>
    </row>
    <row r="655" spans="1:29" ht="27">
      <c r="A655" s="15">
        <v>649</v>
      </c>
      <c r="B655" s="33">
        <f t="shared" si="32"/>
        <v>64</v>
      </c>
      <c r="C655" s="27">
        <f t="shared" si="33"/>
        <v>2024</v>
      </c>
      <c r="D655" s="54"/>
      <c r="E655" s="19">
        <v>6488119</v>
      </c>
      <c r="F655" s="20" t="s">
        <v>38</v>
      </c>
      <c r="G655" s="20" t="s">
        <v>2572</v>
      </c>
      <c r="H655" s="32" t="s">
        <v>2573</v>
      </c>
      <c r="I655" s="25" t="s">
        <v>64</v>
      </c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>
        <v>819110061</v>
      </c>
      <c r="X655" s="26" t="s">
        <v>2574</v>
      </c>
      <c r="Y655" s="25"/>
      <c r="Z655" s="25"/>
      <c r="AA655" s="35"/>
      <c r="AB655" s="25"/>
      <c r="AC655" s="25" t="str">
        <f>TRIM(StudentScore[[#This Row],[Student Email]])</f>
        <v>pearavich.cha@student.mahidol.ac.th</v>
      </c>
    </row>
    <row r="656" spans="1:29" ht="27">
      <c r="A656" s="15">
        <v>650</v>
      </c>
      <c r="B656" s="33">
        <f t="shared" si="32"/>
        <v>64</v>
      </c>
      <c r="C656" s="27">
        <f t="shared" si="33"/>
        <v>2024</v>
      </c>
      <c r="D656" s="54"/>
      <c r="E656" s="19">
        <v>6488120</v>
      </c>
      <c r="F656" s="20" t="s">
        <v>117</v>
      </c>
      <c r="G656" s="20" t="s">
        <v>2575</v>
      </c>
      <c r="H656" s="32" t="s">
        <v>2576</v>
      </c>
      <c r="I656" s="25" t="s">
        <v>53</v>
      </c>
      <c r="J656" s="25">
        <v>93</v>
      </c>
      <c r="K656" s="25">
        <v>47</v>
      </c>
      <c r="L656" s="25">
        <v>46</v>
      </c>
      <c r="M656" s="25"/>
      <c r="N656" s="25"/>
      <c r="O656" s="25"/>
      <c r="P656" s="25"/>
      <c r="Q656" s="25"/>
      <c r="R656" s="25"/>
      <c r="S656" s="26">
        <v>44975</v>
      </c>
      <c r="T656" s="35">
        <v>45028</v>
      </c>
      <c r="U656" s="25"/>
      <c r="V656" s="25"/>
      <c r="W656" s="25">
        <v>934594516</v>
      </c>
      <c r="X656" s="26" t="s">
        <v>2577</v>
      </c>
      <c r="Y656" s="42">
        <v>45028.558437500003</v>
      </c>
      <c r="Z656" s="25" t="s">
        <v>2578</v>
      </c>
      <c r="AA656" s="35"/>
      <c r="AB656" s="25"/>
      <c r="AC656" s="25" t="str">
        <f>TRIM(StudentScore[[#This Row],[Student Email]])</f>
        <v>suphavadee.che@student.mahidol.ac.th</v>
      </c>
    </row>
    <row r="657" spans="1:29" ht="27">
      <c r="A657" s="15">
        <v>651</v>
      </c>
      <c r="B657" s="33">
        <f t="shared" si="32"/>
        <v>64</v>
      </c>
      <c r="C657" s="27">
        <f t="shared" si="33"/>
        <v>2024</v>
      </c>
      <c r="D657" s="54"/>
      <c r="E657" s="19">
        <v>6488121</v>
      </c>
      <c r="F657" s="20" t="s">
        <v>38</v>
      </c>
      <c r="G657" s="20" t="s">
        <v>2579</v>
      </c>
      <c r="H657" s="32" t="s">
        <v>1383</v>
      </c>
      <c r="I657" s="25" t="s">
        <v>124</v>
      </c>
      <c r="J657" s="25">
        <v>5.5</v>
      </c>
      <c r="K657" s="25">
        <v>5</v>
      </c>
      <c r="L657" s="25">
        <v>5.5</v>
      </c>
      <c r="M657" s="25">
        <v>5.5</v>
      </c>
      <c r="N657" s="25">
        <v>5</v>
      </c>
      <c r="O657" s="25"/>
      <c r="P657" s="25"/>
      <c r="Q657" s="25"/>
      <c r="R657" s="25"/>
      <c r="S657" s="35">
        <v>44233</v>
      </c>
      <c r="T657" s="51">
        <v>44378</v>
      </c>
      <c r="U657" s="25"/>
      <c r="V657" s="25"/>
      <c r="W657" s="25"/>
      <c r="X657" s="26" t="s">
        <v>2580</v>
      </c>
      <c r="Y657" s="25"/>
      <c r="Z657" s="25"/>
      <c r="AA657" s="35"/>
      <c r="AB657" s="25"/>
      <c r="AC657" s="25" t="str">
        <f>TRIM(StudentScore[[#This Row],[Student Email]])</f>
        <v>hao.hua@student.mahidol.ac.th</v>
      </c>
    </row>
    <row r="658" spans="1:29" ht="27">
      <c r="A658" s="15">
        <v>652</v>
      </c>
      <c r="B658" s="33">
        <f t="shared" si="32"/>
        <v>64</v>
      </c>
      <c r="C658" s="27">
        <f t="shared" si="33"/>
        <v>2024</v>
      </c>
      <c r="D658" s="54"/>
      <c r="E658" s="19">
        <v>6488122</v>
      </c>
      <c r="F658" s="20" t="s">
        <v>38</v>
      </c>
      <c r="G658" s="20" t="s">
        <v>2581</v>
      </c>
      <c r="H658" s="32" t="s">
        <v>2582</v>
      </c>
      <c r="I658" s="25" t="s">
        <v>41</v>
      </c>
      <c r="J658" s="25">
        <v>640</v>
      </c>
      <c r="K658" s="25">
        <v>63</v>
      </c>
      <c r="L658" s="25">
        <v>65</v>
      </c>
      <c r="M658" s="25">
        <v>64</v>
      </c>
      <c r="N658" s="25"/>
      <c r="O658" s="25"/>
      <c r="P658" s="25"/>
      <c r="Q658" s="25"/>
      <c r="R658" s="25"/>
      <c r="S658" s="35">
        <v>44376</v>
      </c>
      <c r="T658" s="51">
        <v>44378</v>
      </c>
      <c r="U658" s="25"/>
      <c r="V658" s="25"/>
      <c r="W658" s="25">
        <v>955021280</v>
      </c>
      <c r="X658" s="26" t="s">
        <v>2583</v>
      </c>
      <c r="Y658" s="25"/>
      <c r="Z658" s="25"/>
      <c r="AA658" s="35"/>
      <c r="AB658" s="25"/>
      <c r="AC658" s="25" t="str">
        <f>TRIM(StudentScore[[#This Row],[Student Email]])</f>
        <v>paddy.den@student.mahidol.ac.th</v>
      </c>
    </row>
    <row r="659" spans="1:29" ht="27">
      <c r="A659" s="15">
        <v>653</v>
      </c>
      <c r="B659" s="33">
        <f t="shared" si="32"/>
        <v>64</v>
      </c>
      <c r="C659" s="27">
        <f t="shared" si="33"/>
        <v>2024</v>
      </c>
      <c r="D659" s="54"/>
      <c r="E659" s="19">
        <v>6488123</v>
      </c>
      <c r="F659" s="20" t="s">
        <v>38</v>
      </c>
      <c r="G659" s="20" t="s">
        <v>2584</v>
      </c>
      <c r="H659" s="32" t="s">
        <v>2585</v>
      </c>
      <c r="I659" s="25" t="s">
        <v>124</v>
      </c>
      <c r="J659" s="25">
        <v>6</v>
      </c>
      <c r="K659" s="25">
        <v>6.5</v>
      </c>
      <c r="L659" s="25">
        <v>5.5</v>
      </c>
      <c r="M659" s="25">
        <v>5.5</v>
      </c>
      <c r="N659" s="25">
        <v>6.5</v>
      </c>
      <c r="O659" s="25"/>
      <c r="P659" s="25"/>
      <c r="Q659" s="25"/>
      <c r="R659" s="25"/>
      <c r="S659" s="35">
        <v>44059</v>
      </c>
      <c r="T659" s="51">
        <v>44378</v>
      </c>
      <c r="U659" s="25"/>
      <c r="V659" s="25"/>
      <c r="W659" s="25">
        <v>829686611</v>
      </c>
      <c r="X659" s="26" t="s">
        <v>2586</v>
      </c>
      <c r="Y659" s="25"/>
      <c r="Z659" s="25"/>
      <c r="AA659" s="35"/>
      <c r="AB659" s="25"/>
      <c r="AC659" s="25" t="str">
        <f>TRIM(StudentScore[[#This Row],[Student Email]])</f>
        <v>kitiphum.mue@student.mahidol.ac.th</v>
      </c>
    </row>
    <row r="660" spans="1:29" ht="27">
      <c r="A660" s="15">
        <v>654</v>
      </c>
      <c r="B660" s="33">
        <f t="shared" si="32"/>
        <v>64</v>
      </c>
      <c r="C660" s="27">
        <f t="shared" si="33"/>
        <v>2024</v>
      </c>
      <c r="D660" s="54"/>
      <c r="E660" s="19">
        <v>6488124</v>
      </c>
      <c r="F660" s="20" t="s">
        <v>38</v>
      </c>
      <c r="G660" s="20" t="s">
        <v>2587</v>
      </c>
      <c r="H660" s="32" t="s">
        <v>2588</v>
      </c>
      <c r="I660" s="25" t="s">
        <v>41</v>
      </c>
      <c r="J660" s="25">
        <v>527</v>
      </c>
      <c r="K660" s="25">
        <v>50</v>
      </c>
      <c r="L660" s="25">
        <v>56</v>
      </c>
      <c r="M660" s="25">
        <v>52</v>
      </c>
      <c r="N660" s="25"/>
      <c r="O660" s="25"/>
      <c r="P660" s="25"/>
      <c r="Q660" s="25"/>
      <c r="R660" s="25"/>
      <c r="S660" s="35">
        <v>44376</v>
      </c>
      <c r="T660" s="51">
        <v>44378</v>
      </c>
      <c r="U660" s="25"/>
      <c r="V660" s="25"/>
      <c r="W660" s="25">
        <v>618632002</v>
      </c>
      <c r="X660" s="26" t="s">
        <v>2589</v>
      </c>
      <c r="Y660" s="25"/>
      <c r="Z660" s="25"/>
      <c r="AA660" s="35"/>
      <c r="AB660" s="25"/>
      <c r="AC660" s="25" t="str">
        <f>TRIM(StudentScore[[#This Row],[Student Email]])</f>
        <v>sarttra.pra@student.mahidol.ac.th</v>
      </c>
    </row>
    <row r="661" spans="1:29" ht="27">
      <c r="A661" s="15">
        <v>655</v>
      </c>
      <c r="B661" s="33">
        <f t="shared" si="32"/>
        <v>64</v>
      </c>
      <c r="C661" s="27">
        <f t="shared" si="33"/>
        <v>2024</v>
      </c>
      <c r="D661" s="54"/>
      <c r="E661" s="19">
        <v>6488125</v>
      </c>
      <c r="F661" s="20" t="s">
        <v>38</v>
      </c>
      <c r="G661" s="20" t="s">
        <v>2590</v>
      </c>
      <c r="H661" s="32" t="s">
        <v>2591</v>
      </c>
      <c r="I661" s="25" t="s">
        <v>41</v>
      </c>
      <c r="J661" s="25">
        <v>573</v>
      </c>
      <c r="K661" s="25">
        <v>59</v>
      </c>
      <c r="L661" s="25">
        <v>61</v>
      </c>
      <c r="M661" s="25">
        <v>52</v>
      </c>
      <c r="N661" s="25"/>
      <c r="O661" s="25"/>
      <c r="P661" s="25"/>
      <c r="Q661" s="25"/>
      <c r="R661" s="25"/>
      <c r="S661" s="35">
        <v>44376</v>
      </c>
      <c r="T661" s="51">
        <v>44378</v>
      </c>
      <c r="U661" s="25"/>
      <c r="V661" s="25"/>
      <c r="W661" s="25">
        <v>982859882</v>
      </c>
      <c r="X661" s="26" t="s">
        <v>2592</v>
      </c>
      <c r="Y661" s="25"/>
      <c r="Z661" s="25"/>
      <c r="AA661" s="35"/>
      <c r="AB661" s="25"/>
      <c r="AC661" s="25" t="str">
        <f>TRIM(StudentScore[[#This Row],[Student Email]])</f>
        <v>phutthikanj.kit@student.mahidol.ac.th</v>
      </c>
    </row>
    <row r="662" spans="1:29" ht="27">
      <c r="A662" s="15">
        <v>656</v>
      </c>
      <c r="B662" s="33">
        <f t="shared" si="32"/>
        <v>64</v>
      </c>
      <c r="C662" s="27">
        <f t="shared" si="33"/>
        <v>2024</v>
      </c>
      <c r="D662" s="54"/>
      <c r="E662" s="19">
        <v>6488127</v>
      </c>
      <c r="F662" s="20" t="s">
        <v>38</v>
      </c>
      <c r="G662" s="20" t="s">
        <v>2593</v>
      </c>
      <c r="H662" s="32" t="s">
        <v>2594</v>
      </c>
      <c r="I662" s="25" t="s">
        <v>53</v>
      </c>
      <c r="J662" s="25">
        <v>106</v>
      </c>
      <c r="K662" s="25">
        <v>57</v>
      </c>
      <c r="L662" s="25">
        <v>49</v>
      </c>
      <c r="M662" s="25"/>
      <c r="N662" s="25"/>
      <c r="O662" s="25"/>
      <c r="P662" s="25"/>
      <c r="Q662" s="25"/>
      <c r="R662" s="25"/>
      <c r="S662" s="26">
        <v>44643</v>
      </c>
      <c r="T662" s="35">
        <v>44676</v>
      </c>
      <c r="U662" s="25"/>
      <c r="V662" s="25"/>
      <c r="W662" s="25">
        <v>809265926</v>
      </c>
      <c r="X662" s="26" t="s">
        <v>2595</v>
      </c>
      <c r="Y662" s="42">
        <v>44676.480185185188</v>
      </c>
      <c r="Z662" s="25" t="s">
        <v>2596</v>
      </c>
      <c r="AA662" s="35"/>
      <c r="AB662" s="25"/>
      <c r="AC662" s="25" t="str">
        <f>TRIM(StudentScore[[#This Row],[Student Email]])</f>
        <v>kirati.nga@student.mahidol.ac.th</v>
      </c>
    </row>
    <row r="663" spans="1:29" ht="27">
      <c r="A663" s="15">
        <v>657</v>
      </c>
      <c r="B663" s="33">
        <f t="shared" si="32"/>
        <v>64</v>
      </c>
      <c r="C663" s="27">
        <f t="shared" si="33"/>
        <v>2024</v>
      </c>
      <c r="D663" s="54"/>
      <c r="E663" s="19">
        <v>6488128</v>
      </c>
      <c r="F663" s="20" t="s">
        <v>38</v>
      </c>
      <c r="G663" s="20" t="s">
        <v>700</v>
      </c>
      <c r="H663" s="32" t="s">
        <v>2597</v>
      </c>
      <c r="I663" s="25" t="s">
        <v>64</v>
      </c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>
        <v>830922957</v>
      </c>
      <c r="X663" s="26" t="s">
        <v>2598</v>
      </c>
      <c r="Y663" s="25"/>
      <c r="Z663" s="25"/>
      <c r="AA663" s="35"/>
      <c r="AB663" s="25"/>
      <c r="AC663" s="25" t="str">
        <f>TRIM(StudentScore[[#This Row],[Student Email]])</f>
        <v>thanapat.non@student.mahidol.ac.th</v>
      </c>
    </row>
    <row r="664" spans="1:29" ht="27">
      <c r="A664" s="15">
        <v>658</v>
      </c>
      <c r="B664" s="33">
        <f t="shared" si="32"/>
        <v>64</v>
      </c>
      <c r="C664" s="27">
        <f t="shared" si="33"/>
        <v>2024</v>
      </c>
      <c r="D664" s="54"/>
      <c r="E664" s="19">
        <v>6488129</v>
      </c>
      <c r="F664" s="20" t="s">
        <v>38</v>
      </c>
      <c r="G664" s="20" t="s">
        <v>2599</v>
      </c>
      <c r="H664" s="32" t="s">
        <v>2600</v>
      </c>
      <c r="I664" s="25" t="s">
        <v>41</v>
      </c>
      <c r="J664" s="25">
        <v>530</v>
      </c>
      <c r="K664" s="25">
        <v>60</v>
      </c>
      <c r="L664" s="25">
        <v>54</v>
      </c>
      <c r="M664" s="25">
        <v>45</v>
      </c>
      <c r="N664" s="25"/>
      <c r="O664" s="25"/>
      <c r="P664" s="25"/>
      <c r="Q664" s="25"/>
      <c r="R664" s="25"/>
      <c r="S664" s="35">
        <v>44376</v>
      </c>
      <c r="T664" s="51">
        <v>44378</v>
      </c>
      <c r="U664" s="25"/>
      <c r="V664" s="25"/>
      <c r="W664" s="25">
        <v>906789810</v>
      </c>
      <c r="X664" s="26" t="s">
        <v>2601</v>
      </c>
      <c r="Y664" s="25"/>
      <c r="Z664" s="25"/>
      <c r="AA664" s="35"/>
      <c r="AB664" s="25"/>
      <c r="AC664" s="25" t="str">
        <f>TRIM(StudentScore[[#This Row],[Student Email]])</f>
        <v>karuetat.pan@student.mahidol.ac.th</v>
      </c>
    </row>
    <row r="665" spans="1:29" ht="27">
      <c r="A665" s="15">
        <v>659</v>
      </c>
      <c r="B665" s="33">
        <f t="shared" si="32"/>
        <v>64</v>
      </c>
      <c r="C665" s="27">
        <f t="shared" si="33"/>
        <v>2024</v>
      </c>
      <c r="D665" s="54"/>
      <c r="E665" s="19">
        <v>6488130</v>
      </c>
      <c r="F665" s="20" t="s">
        <v>117</v>
      </c>
      <c r="G665" s="20" t="s">
        <v>2602</v>
      </c>
      <c r="H665" s="32" t="s">
        <v>2603</v>
      </c>
      <c r="I665" s="25" t="s">
        <v>41</v>
      </c>
      <c r="J665" s="25">
        <v>607</v>
      </c>
      <c r="K665" s="25">
        <v>62</v>
      </c>
      <c r="L665" s="25">
        <v>59</v>
      </c>
      <c r="M665" s="25">
        <v>61</v>
      </c>
      <c r="N665" s="25"/>
      <c r="O665" s="25"/>
      <c r="P665" s="25"/>
      <c r="Q665" s="25"/>
      <c r="R665" s="25"/>
      <c r="S665" s="35">
        <v>44376</v>
      </c>
      <c r="T665" s="51">
        <v>44378</v>
      </c>
      <c r="U665" s="25"/>
      <c r="V665" s="25"/>
      <c r="W665" s="25">
        <v>898938812</v>
      </c>
      <c r="X665" s="26" t="s">
        <v>2604</v>
      </c>
      <c r="Y665" s="25"/>
      <c r="Z665" s="25"/>
      <c r="AA665" s="35"/>
      <c r="AB665" s="25"/>
      <c r="AC665" s="25" t="str">
        <f>TRIM(StudentScore[[#This Row],[Student Email]])</f>
        <v>warittha.tao@student.mahidol.ac.th</v>
      </c>
    </row>
    <row r="666" spans="1:29" ht="27">
      <c r="A666" s="15">
        <v>660</v>
      </c>
      <c r="B666" s="33">
        <f t="shared" si="32"/>
        <v>64</v>
      </c>
      <c r="C666" s="27">
        <f t="shared" si="33"/>
        <v>2024</v>
      </c>
      <c r="D666" s="54"/>
      <c r="E666" s="19">
        <v>6488131</v>
      </c>
      <c r="F666" s="20" t="s">
        <v>117</v>
      </c>
      <c r="G666" s="20" t="s">
        <v>2605</v>
      </c>
      <c r="H666" s="32" t="s">
        <v>2606</v>
      </c>
      <c r="I666" s="25" t="s">
        <v>244</v>
      </c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>
        <v>955201007</v>
      </c>
      <c r="X666" s="26" t="s">
        <v>2607</v>
      </c>
      <c r="Y666" s="25"/>
      <c r="Z666" s="25"/>
      <c r="AA666" s="35"/>
      <c r="AB666" s="25"/>
      <c r="AC666" s="25" t="str">
        <f>TRIM(StudentScore[[#This Row],[Student Email]])</f>
        <v>nattida.phe@student.mahidol.ac.th</v>
      </c>
    </row>
    <row r="667" spans="1:29" ht="27">
      <c r="A667" s="15">
        <v>661</v>
      </c>
      <c r="B667" s="33">
        <f t="shared" si="32"/>
        <v>64</v>
      </c>
      <c r="C667" s="27">
        <f t="shared" si="33"/>
        <v>2024</v>
      </c>
      <c r="D667" s="54"/>
      <c r="E667" s="19">
        <v>6488133</v>
      </c>
      <c r="F667" s="20" t="s">
        <v>38</v>
      </c>
      <c r="G667" s="20" t="s">
        <v>2608</v>
      </c>
      <c r="H667" s="32" t="s">
        <v>2609</v>
      </c>
      <c r="I667" s="25" t="s">
        <v>41</v>
      </c>
      <c r="J667" s="25">
        <v>550</v>
      </c>
      <c r="K667" s="25">
        <v>55</v>
      </c>
      <c r="L667" s="25">
        <v>61</v>
      </c>
      <c r="M667" s="25">
        <v>49</v>
      </c>
      <c r="N667" s="25"/>
      <c r="O667" s="25"/>
      <c r="P667" s="25"/>
      <c r="Q667" s="25"/>
      <c r="R667" s="25"/>
      <c r="S667" s="35">
        <v>44376</v>
      </c>
      <c r="T667" s="51">
        <v>44378</v>
      </c>
      <c r="U667" s="25"/>
      <c r="V667" s="25"/>
      <c r="W667" s="25">
        <v>910097590</v>
      </c>
      <c r="X667" s="26" t="s">
        <v>2610</v>
      </c>
      <c r="Y667" s="25"/>
      <c r="Z667" s="25"/>
      <c r="AA667" s="35"/>
      <c r="AB667" s="25"/>
      <c r="AC667" s="25" t="str">
        <f>TRIM(StudentScore[[#This Row],[Student Email]])</f>
        <v>sirasit.pun@student.mahidol.ac.th</v>
      </c>
    </row>
    <row r="668" spans="1:29" ht="27">
      <c r="A668" s="15">
        <v>662</v>
      </c>
      <c r="B668" s="33">
        <f t="shared" si="32"/>
        <v>64</v>
      </c>
      <c r="C668" s="27">
        <f t="shared" si="33"/>
        <v>2024</v>
      </c>
      <c r="D668" s="54"/>
      <c r="E668" s="19">
        <v>6488134</v>
      </c>
      <c r="F668" s="20" t="s">
        <v>38</v>
      </c>
      <c r="G668" s="20" t="s">
        <v>2611</v>
      </c>
      <c r="H668" s="32" t="s">
        <v>2612</v>
      </c>
      <c r="I668" s="25" t="s">
        <v>64</v>
      </c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>
        <v>944451554</v>
      </c>
      <c r="X668" s="26" t="s">
        <v>2613</v>
      </c>
      <c r="Y668" s="25"/>
      <c r="Z668" s="25"/>
      <c r="AA668" s="35"/>
      <c r="AB668" s="25"/>
      <c r="AC668" s="25" t="str">
        <f>TRIM(StudentScore[[#This Row],[Student Email]])</f>
        <v>jirateep.rud@student.mahidol.ac.th</v>
      </c>
    </row>
    <row r="669" spans="1:29" ht="27">
      <c r="A669" s="15">
        <v>663</v>
      </c>
      <c r="B669" s="33">
        <f t="shared" si="32"/>
        <v>64</v>
      </c>
      <c r="C669" s="27">
        <f t="shared" si="33"/>
        <v>2024</v>
      </c>
      <c r="D669" s="54"/>
      <c r="E669" s="19">
        <v>6488135</v>
      </c>
      <c r="F669" s="20" t="s">
        <v>117</v>
      </c>
      <c r="G669" s="20" t="s">
        <v>2614</v>
      </c>
      <c r="H669" s="32" t="s">
        <v>2615</v>
      </c>
      <c r="I669" s="25" t="s">
        <v>64</v>
      </c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>
        <v>834353702</v>
      </c>
      <c r="X669" s="26" t="s">
        <v>2616</v>
      </c>
      <c r="Y669" s="25"/>
      <c r="Z669" s="25"/>
      <c r="AA669" s="35"/>
      <c r="AB669" s="25"/>
      <c r="AC669" s="25" t="str">
        <f>TRIM(StudentScore[[#This Row],[Student Email]])</f>
        <v>chalita.run@student.mahidol.ac.th</v>
      </c>
    </row>
    <row r="670" spans="1:29" ht="27">
      <c r="A670" s="15">
        <v>664</v>
      </c>
      <c r="B670" s="33">
        <f t="shared" si="32"/>
        <v>64</v>
      </c>
      <c r="C670" s="27">
        <f t="shared" si="33"/>
        <v>2024</v>
      </c>
      <c r="D670" s="54"/>
      <c r="E670" s="19">
        <v>6488138</v>
      </c>
      <c r="F670" s="20" t="s">
        <v>117</v>
      </c>
      <c r="G670" s="20" t="s">
        <v>2617</v>
      </c>
      <c r="H670" s="32" t="s">
        <v>2618</v>
      </c>
      <c r="I670" s="25" t="s">
        <v>64</v>
      </c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>
        <v>863232090</v>
      </c>
      <c r="X670" s="26" t="s">
        <v>2619</v>
      </c>
      <c r="Y670" s="25"/>
      <c r="Z670" s="25"/>
      <c r="AA670" s="35"/>
      <c r="AB670" s="25"/>
      <c r="AC670" s="25" t="str">
        <f>TRIM(StudentScore[[#This Row],[Student Email]])</f>
        <v>supasuta.sop@student.mahidol.ac.th</v>
      </c>
    </row>
    <row r="671" spans="1:29" ht="27">
      <c r="A671" s="15">
        <v>665</v>
      </c>
      <c r="B671" s="33">
        <f t="shared" si="32"/>
        <v>64</v>
      </c>
      <c r="C671" s="27">
        <f t="shared" si="33"/>
        <v>2024</v>
      </c>
      <c r="D671" s="54"/>
      <c r="E671" s="19">
        <v>6488139</v>
      </c>
      <c r="F671" s="20" t="s">
        <v>117</v>
      </c>
      <c r="G671" s="20" t="s">
        <v>2620</v>
      </c>
      <c r="H671" s="32" t="s">
        <v>2621</v>
      </c>
      <c r="I671" s="25" t="s">
        <v>64</v>
      </c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>
        <v>840236435</v>
      </c>
      <c r="X671" s="26" t="s">
        <v>2622</v>
      </c>
      <c r="Y671" s="25"/>
      <c r="Z671" s="25"/>
      <c r="AA671" s="35"/>
      <c r="AB671" s="25"/>
      <c r="AC671" s="25" t="str">
        <f>TRIM(StudentScore[[#This Row],[Student Email]])</f>
        <v>petchpearploy.sub@student.mahidol.ac.th</v>
      </c>
    </row>
    <row r="672" spans="1:29" ht="27">
      <c r="A672" s="15">
        <v>666</v>
      </c>
      <c r="B672" s="33">
        <f t="shared" si="32"/>
        <v>64</v>
      </c>
      <c r="C672" s="27">
        <f t="shared" si="33"/>
        <v>2024</v>
      </c>
      <c r="D672" s="54"/>
      <c r="E672" s="19">
        <v>6488140</v>
      </c>
      <c r="F672" s="20" t="s">
        <v>38</v>
      </c>
      <c r="G672" s="20" t="s">
        <v>2623</v>
      </c>
      <c r="H672" s="32" t="s">
        <v>2624</v>
      </c>
      <c r="I672" s="25" t="s">
        <v>41</v>
      </c>
      <c r="J672" s="25">
        <v>623</v>
      </c>
      <c r="K672" s="25">
        <v>63</v>
      </c>
      <c r="L672" s="25">
        <v>63</v>
      </c>
      <c r="M672" s="25">
        <v>61</v>
      </c>
      <c r="N672" s="25"/>
      <c r="O672" s="25"/>
      <c r="P672" s="25"/>
      <c r="Q672" s="25"/>
      <c r="R672" s="25"/>
      <c r="S672" s="35">
        <v>44376</v>
      </c>
      <c r="T672" s="51">
        <v>44378</v>
      </c>
      <c r="U672" s="25"/>
      <c r="V672" s="25"/>
      <c r="W672" s="25">
        <v>891332626</v>
      </c>
      <c r="X672" s="26" t="s">
        <v>2625</v>
      </c>
      <c r="Y672" s="25"/>
      <c r="Z672" s="25"/>
      <c r="AA672" s="35"/>
      <c r="AB672" s="25"/>
      <c r="AC672" s="25" t="str">
        <f>TRIM(StudentScore[[#This Row],[Student Email]])</f>
        <v>pattanut.sum@student.mahidol.ac.th</v>
      </c>
    </row>
    <row r="673" spans="1:29" ht="27">
      <c r="A673" s="15">
        <v>667</v>
      </c>
      <c r="B673" s="33">
        <f t="shared" si="32"/>
        <v>64</v>
      </c>
      <c r="C673" s="27">
        <f t="shared" si="33"/>
        <v>2024</v>
      </c>
      <c r="D673" s="54"/>
      <c r="E673" s="19">
        <v>6488141</v>
      </c>
      <c r="F673" s="20" t="s">
        <v>38</v>
      </c>
      <c r="G673" s="20" t="s">
        <v>2626</v>
      </c>
      <c r="H673" s="32" t="s">
        <v>2627</v>
      </c>
      <c r="I673" s="25" t="s">
        <v>64</v>
      </c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>
        <v>958985959</v>
      </c>
      <c r="X673" s="26" t="s">
        <v>2628</v>
      </c>
      <c r="Y673" s="25"/>
      <c r="Z673" s="25"/>
      <c r="AA673" s="35"/>
      <c r="AB673" s="25"/>
      <c r="AC673" s="25" t="str">
        <f>TRIM(StudentScore[[#This Row],[Student Email]])</f>
        <v>kasidit.tag@student.mahidol.ac.th</v>
      </c>
    </row>
    <row r="674" spans="1:29" ht="27">
      <c r="A674" s="15">
        <v>668</v>
      </c>
      <c r="B674" s="33">
        <f t="shared" si="32"/>
        <v>64</v>
      </c>
      <c r="C674" s="27">
        <f t="shared" si="33"/>
        <v>2024</v>
      </c>
      <c r="D674" s="54"/>
      <c r="E674" s="19">
        <v>6488143</v>
      </c>
      <c r="F674" s="20" t="s">
        <v>117</v>
      </c>
      <c r="G674" s="20" t="s">
        <v>1319</v>
      </c>
      <c r="H674" s="32" t="s">
        <v>2629</v>
      </c>
      <c r="I674" s="25" t="s">
        <v>64</v>
      </c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>
        <v>660857891</v>
      </c>
      <c r="X674" s="26" t="s">
        <v>2630</v>
      </c>
      <c r="Y674" s="25"/>
      <c r="Z674" s="25"/>
      <c r="AA674" s="35"/>
      <c r="AB674" s="25"/>
      <c r="AC674" s="25" t="str">
        <f>TRIM(StudentScore[[#This Row],[Student Email]])</f>
        <v>nichapat.thu@student.mahidol.ac.th</v>
      </c>
    </row>
    <row r="675" spans="1:29" ht="27">
      <c r="A675" s="15">
        <v>669</v>
      </c>
      <c r="B675" s="33">
        <f t="shared" si="32"/>
        <v>64</v>
      </c>
      <c r="C675" s="27">
        <f t="shared" si="33"/>
        <v>2024</v>
      </c>
      <c r="D675" s="54"/>
      <c r="E675" s="19">
        <v>6488144</v>
      </c>
      <c r="F675" s="20" t="s">
        <v>38</v>
      </c>
      <c r="G675" s="20" t="s">
        <v>1312</v>
      </c>
      <c r="H675" s="32" t="s">
        <v>2631</v>
      </c>
      <c r="I675" s="25" t="s">
        <v>64</v>
      </c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>
        <v>945575711</v>
      </c>
      <c r="X675" s="26" t="s">
        <v>2632</v>
      </c>
      <c r="Y675" s="25"/>
      <c r="Z675" s="25"/>
      <c r="AA675" s="35"/>
      <c r="AB675" s="25"/>
      <c r="AC675" s="25" t="str">
        <f>TRIM(StudentScore[[#This Row],[Student Email]])</f>
        <v>nattapat.tre@student.mahidol.ac.th</v>
      </c>
    </row>
    <row r="676" spans="1:29" ht="27">
      <c r="A676" s="15">
        <v>670</v>
      </c>
      <c r="B676" s="33">
        <f t="shared" si="32"/>
        <v>64</v>
      </c>
      <c r="C676" s="27">
        <f t="shared" si="33"/>
        <v>2024</v>
      </c>
      <c r="D676" s="54"/>
      <c r="E676" s="19">
        <v>6488148</v>
      </c>
      <c r="F676" s="20" t="s">
        <v>38</v>
      </c>
      <c r="G676" s="20" t="s">
        <v>2633</v>
      </c>
      <c r="H676" s="32" t="s">
        <v>2634</v>
      </c>
      <c r="I676" s="25" t="s">
        <v>41</v>
      </c>
      <c r="J676" s="25">
        <v>547</v>
      </c>
      <c r="K676" s="25">
        <v>58</v>
      </c>
      <c r="L676" s="25">
        <v>53</v>
      </c>
      <c r="M676" s="25">
        <v>53</v>
      </c>
      <c r="N676" s="25"/>
      <c r="O676" s="25"/>
      <c r="P676" s="25"/>
      <c r="Q676" s="25"/>
      <c r="R676" s="25"/>
      <c r="S676" s="35">
        <v>44376</v>
      </c>
      <c r="T676" s="51">
        <v>44378</v>
      </c>
      <c r="U676" s="25"/>
      <c r="V676" s="25"/>
      <c r="W676" s="25">
        <v>802951514</v>
      </c>
      <c r="X676" s="26" t="s">
        <v>2635</v>
      </c>
      <c r="Y676" s="25"/>
      <c r="Z676" s="25"/>
      <c r="AA676" s="35"/>
      <c r="AB676" s="25"/>
      <c r="AC676" s="25" t="str">
        <f>TRIM(StudentScore[[#This Row],[Student Email]])</f>
        <v>pattanun.wor@student.mahidol.ac.th</v>
      </c>
    </row>
    <row r="677" spans="1:29" ht="27">
      <c r="A677" s="15">
        <v>671</v>
      </c>
      <c r="B677" s="33">
        <f t="shared" si="32"/>
        <v>64</v>
      </c>
      <c r="C677" s="27">
        <f t="shared" si="33"/>
        <v>2024</v>
      </c>
      <c r="D677" s="54"/>
      <c r="E677" s="19">
        <v>6488149</v>
      </c>
      <c r="F677" s="20" t="s">
        <v>38</v>
      </c>
      <c r="G677" s="20" t="s">
        <v>2636</v>
      </c>
      <c r="H677" s="32" t="s">
        <v>2637</v>
      </c>
      <c r="I677" s="25" t="s">
        <v>64</v>
      </c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>
        <v>863384187</v>
      </c>
      <c r="X677" s="26" t="s">
        <v>2638</v>
      </c>
      <c r="Y677" s="25"/>
      <c r="Z677" s="25"/>
      <c r="AA677" s="35"/>
      <c r="AB677" s="25"/>
      <c r="AC677" s="25" t="str">
        <f>TRIM(StudentScore[[#This Row],[Student Email]])</f>
        <v>kongphob.wut@student.mahidol.ac.th</v>
      </c>
    </row>
    <row r="678" spans="1:29" ht="27">
      <c r="A678" s="15">
        <v>672</v>
      </c>
      <c r="B678" s="33">
        <f t="shared" si="32"/>
        <v>64</v>
      </c>
      <c r="C678" s="27">
        <f t="shared" si="33"/>
        <v>2024</v>
      </c>
      <c r="D678" s="54"/>
      <c r="E678" s="19">
        <v>6488151</v>
      </c>
      <c r="F678" s="20" t="s">
        <v>38</v>
      </c>
      <c r="G678" s="20" t="s">
        <v>2639</v>
      </c>
      <c r="H678" s="32" t="s">
        <v>2640</v>
      </c>
      <c r="I678" s="25" t="s">
        <v>124</v>
      </c>
      <c r="J678" s="25">
        <v>5.5</v>
      </c>
      <c r="K678" s="25">
        <v>5.5</v>
      </c>
      <c r="L678" s="25">
        <v>5</v>
      </c>
      <c r="M678" s="25">
        <v>5.5</v>
      </c>
      <c r="N678" s="25">
        <v>5</v>
      </c>
      <c r="O678" s="25"/>
      <c r="P678" s="25"/>
      <c r="Q678" s="25"/>
      <c r="R678" s="25"/>
      <c r="S678" s="26">
        <v>44142</v>
      </c>
      <c r="T678" s="26">
        <v>44745</v>
      </c>
      <c r="U678" s="25"/>
      <c r="V678" s="25"/>
      <c r="W678" s="25">
        <v>968853619</v>
      </c>
      <c r="X678" s="26" t="s">
        <v>2641</v>
      </c>
      <c r="Y678" s="42">
        <v>44627.470949074072</v>
      </c>
      <c r="Z678" s="25" t="s">
        <v>2642</v>
      </c>
      <c r="AA678" s="35"/>
      <c r="AB678" s="25"/>
      <c r="AC678" s="25" t="str">
        <f>TRIM(StudentScore[[#This Row],[Student Email]])</f>
        <v>nutrin.pon@student.mahidol.ac.th</v>
      </c>
    </row>
    <row r="679" spans="1:29" ht="27">
      <c r="A679" s="15">
        <v>673</v>
      </c>
      <c r="B679" s="33">
        <f t="shared" si="32"/>
        <v>64</v>
      </c>
      <c r="C679" s="27">
        <f t="shared" si="33"/>
        <v>2024</v>
      </c>
      <c r="D679" s="54"/>
      <c r="E679" s="19">
        <v>6488152</v>
      </c>
      <c r="F679" s="20" t="s">
        <v>117</v>
      </c>
      <c r="G679" s="20" t="s">
        <v>105</v>
      </c>
      <c r="H679" s="32" t="s">
        <v>2643</v>
      </c>
      <c r="I679" s="25" t="s">
        <v>64</v>
      </c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>
        <v>909720909</v>
      </c>
      <c r="X679" s="26" t="s">
        <v>2644</v>
      </c>
      <c r="Y679" s="25"/>
      <c r="Z679" s="25"/>
      <c r="AA679" s="35"/>
      <c r="AB679" s="25"/>
      <c r="AC679" s="25" t="str">
        <f>TRIM(StudentScore[[#This Row],[Student Email]])</f>
        <v>warintorn.wag@student.mahidol.ac.th</v>
      </c>
    </row>
    <row r="680" spans="1:29" ht="27">
      <c r="A680" s="15">
        <v>674</v>
      </c>
      <c r="B680" s="33">
        <f t="shared" si="32"/>
        <v>64</v>
      </c>
      <c r="C680" s="27">
        <f t="shared" si="33"/>
        <v>2024</v>
      </c>
      <c r="D680" s="54"/>
      <c r="E680" s="19">
        <v>6488154</v>
      </c>
      <c r="F680" s="20" t="s">
        <v>38</v>
      </c>
      <c r="G680" s="20" t="s">
        <v>2645</v>
      </c>
      <c r="H680" s="32" t="s">
        <v>1379</v>
      </c>
      <c r="I680" s="25" t="s">
        <v>64</v>
      </c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6" t="s">
        <v>2646</v>
      </c>
      <c r="Y680" s="25"/>
      <c r="Z680" s="25"/>
      <c r="AA680" s="35"/>
      <c r="AB680" s="25"/>
      <c r="AC680" s="25" t="str">
        <f>TRIM(StudentScore[[#This Row],[Student Email]])</f>
        <v>zishun.gao@student.mahidol.ac.th</v>
      </c>
    </row>
    <row r="681" spans="1:29" ht="27">
      <c r="A681" s="15">
        <v>675</v>
      </c>
      <c r="B681" s="33">
        <f t="shared" si="32"/>
        <v>64</v>
      </c>
      <c r="C681" s="27">
        <f t="shared" si="33"/>
        <v>2024</v>
      </c>
      <c r="D681" s="54"/>
      <c r="E681" s="19">
        <v>6488155</v>
      </c>
      <c r="F681" s="20" t="s">
        <v>38</v>
      </c>
      <c r="G681" s="20" t="s">
        <v>2647</v>
      </c>
      <c r="H681" s="32" t="s">
        <v>2097</v>
      </c>
      <c r="I681" s="25" t="s">
        <v>64</v>
      </c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6" t="s">
        <v>2648</v>
      </c>
      <c r="Y681" s="25"/>
      <c r="Z681" s="25"/>
      <c r="AA681" s="35"/>
      <c r="AB681" s="25"/>
      <c r="AC681" s="25" t="str">
        <f>TRIM(StudentScore[[#This Row],[Student Email]])</f>
        <v>pengkai.kon@student.mahidol.ac.th</v>
      </c>
    </row>
    <row r="682" spans="1:29" ht="27">
      <c r="A682" s="15">
        <v>676</v>
      </c>
      <c r="B682" s="33">
        <f t="shared" si="32"/>
        <v>64</v>
      </c>
      <c r="C682" s="27">
        <f t="shared" si="33"/>
        <v>2024</v>
      </c>
      <c r="D682" s="54"/>
      <c r="E682" s="19">
        <v>6488156</v>
      </c>
      <c r="F682" s="20" t="s">
        <v>38</v>
      </c>
      <c r="G682" s="20" t="s">
        <v>2649</v>
      </c>
      <c r="H682" s="32" t="s">
        <v>1387</v>
      </c>
      <c r="I682" s="25" t="s">
        <v>64</v>
      </c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6" t="s">
        <v>2650</v>
      </c>
      <c r="Y682" s="25"/>
      <c r="Z682" s="25"/>
      <c r="AA682" s="35"/>
      <c r="AB682" s="25"/>
      <c r="AC682" s="25" t="str">
        <f>TRIM(StudentScore[[#This Row],[Student Email]])</f>
        <v>hemu.li@student.mahidol.ac.th</v>
      </c>
    </row>
    <row r="683" spans="1:29" ht="27">
      <c r="A683" s="15">
        <v>677</v>
      </c>
      <c r="B683" s="33">
        <f t="shared" si="32"/>
        <v>64</v>
      </c>
      <c r="C683" s="27">
        <f t="shared" si="33"/>
        <v>2024</v>
      </c>
      <c r="D683" s="54"/>
      <c r="E683" s="19">
        <v>6488160</v>
      </c>
      <c r="F683" s="20" t="s">
        <v>38</v>
      </c>
      <c r="G683" s="20" t="s">
        <v>2651</v>
      </c>
      <c r="H683" s="32" t="s">
        <v>2652</v>
      </c>
      <c r="I683" s="25" t="s">
        <v>41</v>
      </c>
      <c r="J683" s="25">
        <v>613</v>
      </c>
      <c r="K683" s="25">
        <v>62</v>
      </c>
      <c r="L683" s="25">
        <v>61</v>
      </c>
      <c r="M683" s="25">
        <v>61</v>
      </c>
      <c r="N683" s="25"/>
      <c r="O683" s="25"/>
      <c r="P683" s="25"/>
      <c r="Q683" s="25"/>
      <c r="R683" s="25"/>
      <c r="S683" s="35">
        <v>44376</v>
      </c>
      <c r="T683" s="51">
        <v>44378</v>
      </c>
      <c r="U683" s="25"/>
      <c r="V683" s="25"/>
      <c r="W683" s="25">
        <v>811378049</v>
      </c>
      <c r="X683" s="26" t="s">
        <v>2653</v>
      </c>
      <c r="Y683" s="25"/>
      <c r="Z683" s="25"/>
      <c r="AA683" s="35"/>
      <c r="AB683" s="25"/>
      <c r="AC683" s="25" t="str">
        <f>TRIM(StudentScore[[#This Row],[Student Email]])</f>
        <v>prachnachai.mek@student.mahidol.ac.th</v>
      </c>
    </row>
    <row r="684" spans="1:29" ht="27">
      <c r="A684" s="15">
        <v>678</v>
      </c>
      <c r="B684" s="33">
        <f t="shared" si="32"/>
        <v>64</v>
      </c>
      <c r="C684" s="27">
        <f t="shared" si="33"/>
        <v>2024</v>
      </c>
      <c r="D684" s="54"/>
      <c r="E684" s="19">
        <v>6488162</v>
      </c>
      <c r="F684" s="20" t="s">
        <v>38</v>
      </c>
      <c r="G684" s="20" t="s">
        <v>2654</v>
      </c>
      <c r="H684" s="32" t="s">
        <v>2655</v>
      </c>
      <c r="I684" s="25" t="s">
        <v>64</v>
      </c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>
        <v>878780077</v>
      </c>
      <c r="X684" s="26" t="s">
        <v>2656</v>
      </c>
      <c r="Y684" s="25"/>
      <c r="Z684" s="25"/>
      <c r="AA684" s="35"/>
      <c r="AB684" s="25"/>
      <c r="AC684" s="25" t="str">
        <f>TRIM(StudentScore[[#This Row],[Student Email]])</f>
        <v>thachchai.pat@student.mahidol.ac.th</v>
      </c>
    </row>
    <row r="685" spans="1:29" ht="27">
      <c r="A685" s="15">
        <v>679</v>
      </c>
      <c r="B685" s="33">
        <f t="shared" si="32"/>
        <v>64</v>
      </c>
      <c r="C685" s="27">
        <f t="shared" si="33"/>
        <v>2024</v>
      </c>
      <c r="D685" s="54"/>
      <c r="E685" s="19">
        <v>6488165</v>
      </c>
      <c r="F685" s="20" t="s">
        <v>117</v>
      </c>
      <c r="G685" s="20" t="s">
        <v>2657</v>
      </c>
      <c r="H685" s="32" t="s">
        <v>2658</v>
      </c>
      <c r="I685" s="25" t="s">
        <v>64</v>
      </c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6" t="s">
        <v>2659</v>
      </c>
      <c r="Y685" s="25"/>
      <c r="Z685" s="25"/>
      <c r="AA685" s="35"/>
      <c r="AB685" s="25"/>
      <c r="AC685" s="25" t="str">
        <f>TRIM(StudentScore[[#This Row],[Student Email]])</f>
        <v>duanxuanli.tan@student.mahidol.ac.th</v>
      </c>
    </row>
    <row r="686" spans="1:29" ht="27">
      <c r="A686" s="15">
        <v>680</v>
      </c>
      <c r="B686" s="33">
        <f t="shared" si="32"/>
        <v>64</v>
      </c>
      <c r="C686" s="27">
        <f t="shared" si="33"/>
        <v>2024</v>
      </c>
      <c r="D686" s="54"/>
      <c r="E686" s="19">
        <v>6488166</v>
      </c>
      <c r="F686" s="20" t="s">
        <v>38</v>
      </c>
      <c r="G686" s="20" t="s">
        <v>2094</v>
      </c>
      <c r="H686" s="32" t="s">
        <v>1409</v>
      </c>
      <c r="I686" s="25" t="s">
        <v>124</v>
      </c>
      <c r="J686" s="25">
        <v>5.5</v>
      </c>
      <c r="K686" s="25">
        <v>5.5</v>
      </c>
      <c r="L686" s="25">
        <v>6</v>
      </c>
      <c r="M686" s="25">
        <v>5.5</v>
      </c>
      <c r="N686" s="25">
        <v>5.5</v>
      </c>
      <c r="O686" s="25"/>
      <c r="P686" s="25"/>
      <c r="Q686" s="25"/>
      <c r="R686" s="25"/>
      <c r="S686" s="26">
        <v>44303</v>
      </c>
      <c r="T686" s="25"/>
      <c r="U686" s="25"/>
      <c r="V686" s="25"/>
      <c r="W686" s="25"/>
      <c r="X686" s="26" t="s">
        <v>2660</v>
      </c>
      <c r="Y686" s="42">
        <v>44726.010243055556</v>
      </c>
      <c r="Z686" s="25" t="s">
        <v>2661</v>
      </c>
      <c r="AA686" s="35"/>
      <c r="AB686" s="25"/>
      <c r="AC686" s="25" t="str">
        <f>TRIM(StudentScore[[#This Row],[Student Email]])</f>
        <v>dong.wan@student.mahidol.ac.th</v>
      </c>
    </row>
    <row r="687" spans="1:29" ht="27">
      <c r="A687" s="15">
        <v>681</v>
      </c>
      <c r="B687" s="33">
        <f t="shared" si="32"/>
        <v>64</v>
      </c>
      <c r="C687" s="27">
        <f t="shared" si="33"/>
        <v>2024</v>
      </c>
      <c r="D687" s="54"/>
      <c r="E687" s="19">
        <v>6488167</v>
      </c>
      <c r="F687" s="20" t="s">
        <v>38</v>
      </c>
      <c r="G687" s="20" t="s">
        <v>2662</v>
      </c>
      <c r="H687" s="32" t="s">
        <v>2663</v>
      </c>
      <c r="I687" s="25" t="s">
        <v>124</v>
      </c>
      <c r="J687" s="25">
        <v>5.5</v>
      </c>
      <c r="K687" s="25">
        <v>5</v>
      </c>
      <c r="L687" s="25">
        <v>5.5</v>
      </c>
      <c r="M687" s="25">
        <v>5.5</v>
      </c>
      <c r="N687" s="25">
        <v>5.5</v>
      </c>
      <c r="O687" s="25"/>
      <c r="P687" s="25"/>
      <c r="Q687" s="25"/>
      <c r="R687" s="25"/>
      <c r="S687" s="26">
        <v>44313</v>
      </c>
      <c r="T687" s="26">
        <v>44859</v>
      </c>
      <c r="U687" s="25"/>
      <c r="V687" s="25"/>
      <c r="W687" s="25"/>
      <c r="X687" s="26" t="s">
        <v>2664</v>
      </c>
      <c r="Y687" s="42">
        <v>44860.39135416667</v>
      </c>
      <c r="Z687" s="25" t="s">
        <v>2665</v>
      </c>
      <c r="AA687" s="35"/>
      <c r="AB687" s="25"/>
      <c r="AC687" s="25" t="str">
        <f>TRIM(StudentScore[[#This Row],[Student Email]])</f>
        <v>shaojun.wen@student.mahidol.ac.th</v>
      </c>
    </row>
    <row r="688" spans="1:29" ht="27">
      <c r="A688" s="15">
        <v>682</v>
      </c>
      <c r="B688" s="33">
        <f t="shared" si="32"/>
        <v>64</v>
      </c>
      <c r="C688" s="27">
        <f t="shared" si="33"/>
        <v>2024</v>
      </c>
      <c r="D688" s="54"/>
      <c r="E688" s="19">
        <v>6488168</v>
      </c>
      <c r="F688" s="20" t="s">
        <v>38</v>
      </c>
      <c r="G688" s="20" t="s">
        <v>2666</v>
      </c>
      <c r="H688" s="32" t="s">
        <v>2667</v>
      </c>
      <c r="I688" s="25" t="s">
        <v>124</v>
      </c>
      <c r="J688" s="25">
        <v>5.5</v>
      </c>
      <c r="K688" s="25">
        <v>6</v>
      </c>
      <c r="L688" s="25">
        <v>5.5</v>
      </c>
      <c r="M688" s="25">
        <v>5.5</v>
      </c>
      <c r="N688" s="25">
        <v>4.5</v>
      </c>
      <c r="O688" s="25"/>
      <c r="P688" s="25"/>
      <c r="Q688" s="25"/>
      <c r="R688" s="25"/>
      <c r="S688" s="35">
        <v>44191</v>
      </c>
      <c r="T688" s="51">
        <v>44440</v>
      </c>
      <c r="U688" s="25"/>
      <c r="V688" s="25"/>
      <c r="W688" s="25"/>
      <c r="X688" s="26" t="s">
        <v>2668</v>
      </c>
      <c r="Y688" s="25"/>
      <c r="Z688" s="25"/>
      <c r="AA688" s="35"/>
      <c r="AB688" s="25"/>
      <c r="AC688" s="25" t="str">
        <f>TRIM(StudentScore[[#This Row],[Student Email]])</f>
        <v>linfeng.zha@student.mahidol.ac.th</v>
      </c>
    </row>
    <row r="689" spans="1:29" ht="27">
      <c r="A689" s="15">
        <v>683</v>
      </c>
      <c r="B689" s="33">
        <f t="shared" ref="B689:B700" si="34">VALUE(LEFT(E689,2))</f>
        <v>64</v>
      </c>
      <c r="C689" s="27">
        <f t="shared" ref="C689:C700" si="35">VALUE("25"&amp;B689)-543+3</f>
        <v>2024</v>
      </c>
      <c r="D689" s="54"/>
      <c r="E689" s="19">
        <v>6488170</v>
      </c>
      <c r="F689" s="20" t="s">
        <v>38</v>
      </c>
      <c r="G689" s="20" t="s">
        <v>2669</v>
      </c>
      <c r="H689" s="32" t="s">
        <v>1424</v>
      </c>
      <c r="I689" s="25" t="s">
        <v>64</v>
      </c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6" t="s">
        <v>2670</v>
      </c>
      <c r="Y689" s="25"/>
      <c r="Z689" s="25"/>
      <c r="AA689" s="35"/>
      <c r="AB689" s="25"/>
      <c r="AC689" s="25" t="str">
        <f>TRIM(StudentScore[[#This Row],[Student Email]])</f>
        <v>yisong.zha@student.mahidol.ac.th</v>
      </c>
    </row>
    <row r="690" spans="1:29" ht="27">
      <c r="A690" s="15">
        <v>684</v>
      </c>
      <c r="B690" s="33">
        <f t="shared" si="34"/>
        <v>64</v>
      </c>
      <c r="C690" s="27">
        <f t="shared" si="35"/>
        <v>2024</v>
      </c>
      <c r="D690" s="54"/>
      <c r="E690" s="19">
        <v>6488171</v>
      </c>
      <c r="F690" s="20" t="s">
        <v>38</v>
      </c>
      <c r="G690" s="20" t="s">
        <v>2671</v>
      </c>
      <c r="H690" s="32" t="s">
        <v>1427</v>
      </c>
      <c r="I690" s="25" t="s">
        <v>124</v>
      </c>
      <c r="J690" s="25">
        <v>6.5</v>
      </c>
      <c r="K690" s="25">
        <v>5.5</v>
      </c>
      <c r="L690" s="25">
        <v>7</v>
      </c>
      <c r="M690" s="25">
        <v>7</v>
      </c>
      <c r="N690" s="25">
        <v>5.5</v>
      </c>
      <c r="O690" s="25"/>
      <c r="P690" s="25"/>
      <c r="Q690" s="25"/>
      <c r="R690" s="25"/>
      <c r="S690" s="35">
        <v>44303</v>
      </c>
      <c r="T690" s="51">
        <v>44409</v>
      </c>
      <c r="U690" s="25"/>
      <c r="V690" s="25"/>
      <c r="W690" s="25"/>
      <c r="X690" s="26" t="s">
        <v>2672</v>
      </c>
      <c r="Y690" s="25"/>
      <c r="Z690" s="25"/>
      <c r="AA690" s="35"/>
      <c r="AB690" s="25"/>
      <c r="AC690" s="25" t="str">
        <f>TRIM(StudentScore[[#This Row],[Student Email]])</f>
        <v>sui.zho@student.mahidol.ac.th</v>
      </c>
    </row>
    <row r="691" spans="1:29" ht="27">
      <c r="A691" s="15">
        <v>685</v>
      </c>
      <c r="B691" s="33">
        <f t="shared" si="34"/>
        <v>64</v>
      </c>
      <c r="C691" s="27">
        <f t="shared" si="35"/>
        <v>2024</v>
      </c>
      <c r="D691" s="54"/>
      <c r="E691" s="19">
        <v>6488173</v>
      </c>
      <c r="F691" s="20" t="s">
        <v>38</v>
      </c>
      <c r="G691" s="20" t="s">
        <v>1626</v>
      </c>
      <c r="H691" s="32" t="s">
        <v>2673</v>
      </c>
      <c r="I691" s="25" t="s">
        <v>41</v>
      </c>
      <c r="J691" s="25">
        <v>533</v>
      </c>
      <c r="K691" s="25">
        <v>60</v>
      </c>
      <c r="L691" s="25">
        <v>53</v>
      </c>
      <c r="M691" s="25">
        <v>47</v>
      </c>
      <c r="N691" s="25"/>
      <c r="O691" s="25"/>
      <c r="P691" s="25"/>
      <c r="Q691" s="25"/>
      <c r="R691" s="25"/>
      <c r="S691" s="35">
        <v>44376</v>
      </c>
      <c r="T691" s="51">
        <v>44531</v>
      </c>
      <c r="U691" s="25"/>
      <c r="V691" s="25"/>
      <c r="W691" s="25">
        <v>625916127</v>
      </c>
      <c r="X691" s="26" t="s">
        <v>2674</v>
      </c>
      <c r="Y691" s="25"/>
      <c r="Z691" s="25"/>
      <c r="AA691" s="35"/>
      <c r="AB691" s="25"/>
      <c r="AC691" s="25" t="str">
        <f>TRIM(StudentScore[[#This Row],[Student Email]])</f>
        <v>thanat.phi@student.mahidol.ac.th</v>
      </c>
    </row>
    <row r="692" spans="1:29" ht="27">
      <c r="A692" s="15">
        <v>686</v>
      </c>
      <c r="B692" s="33">
        <f t="shared" si="34"/>
        <v>64</v>
      </c>
      <c r="C692" s="27">
        <f t="shared" si="35"/>
        <v>2024</v>
      </c>
      <c r="D692" s="54"/>
      <c r="E692" s="19">
        <v>6488174</v>
      </c>
      <c r="F692" s="20" t="s">
        <v>38</v>
      </c>
      <c r="G692" s="20" t="s">
        <v>2675</v>
      </c>
      <c r="H692" s="32" t="s">
        <v>2676</v>
      </c>
      <c r="I692" s="25" t="s">
        <v>64</v>
      </c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>
        <v>994342415</v>
      </c>
      <c r="X692" s="26" t="s">
        <v>2677</v>
      </c>
      <c r="Y692" s="25"/>
      <c r="Z692" s="25"/>
      <c r="AA692" s="35"/>
      <c r="AB692" s="25"/>
      <c r="AC692" s="25" t="str">
        <f>TRIM(StudentScore[[#This Row],[Student Email]])</f>
        <v>punn.pan@student.mahidol.ac.th</v>
      </c>
    </row>
    <row r="693" spans="1:29" ht="27">
      <c r="A693" s="15">
        <v>687</v>
      </c>
      <c r="B693" s="33">
        <f t="shared" si="34"/>
        <v>64</v>
      </c>
      <c r="C693" s="27">
        <f t="shared" si="35"/>
        <v>2024</v>
      </c>
      <c r="D693" s="54"/>
      <c r="E693" s="19">
        <v>6488175</v>
      </c>
      <c r="F693" s="20" t="s">
        <v>117</v>
      </c>
      <c r="G693" s="20" t="s">
        <v>2678</v>
      </c>
      <c r="H693" s="32" t="s">
        <v>2679</v>
      </c>
      <c r="I693" s="25" t="s">
        <v>53</v>
      </c>
      <c r="J693" s="25">
        <v>102</v>
      </c>
      <c r="K693" s="25">
        <v>45</v>
      </c>
      <c r="L693" s="25">
        <v>55</v>
      </c>
      <c r="M693" s="25"/>
      <c r="N693" s="25"/>
      <c r="O693" s="25"/>
      <c r="P693" s="25"/>
      <c r="Q693" s="25"/>
      <c r="R693" s="25"/>
      <c r="S693" s="26">
        <v>44975</v>
      </c>
      <c r="T693" s="35">
        <v>45044</v>
      </c>
      <c r="U693" s="25"/>
      <c r="V693" s="25"/>
      <c r="W693" s="25">
        <v>869612151</v>
      </c>
      <c r="X693" s="26" t="s">
        <v>2680</v>
      </c>
      <c r="Y693" s="42">
        <v>45044.69027777778</v>
      </c>
      <c r="Z693" s="25" t="s">
        <v>2681</v>
      </c>
      <c r="AA693" s="35"/>
      <c r="AB693" s="25"/>
      <c r="AC693" s="25" t="str">
        <f>TRIM(StudentScore[[#This Row],[Student Email]])</f>
        <v>penpitchapa.pan@student.mahidol.ac.th</v>
      </c>
    </row>
    <row r="694" spans="1:29" ht="27">
      <c r="A694" s="15">
        <v>688</v>
      </c>
      <c r="B694" s="33">
        <f t="shared" si="34"/>
        <v>64</v>
      </c>
      <c r="C694" s="27">
        <f t="shared" si="35"/>
        <v>2024</v>
      </c>
      <c r="D694" s="54"/>
      <c r="E694" s="19">
        <v>6488176</v>
      </c>
      <c r="F694" s="20" t="s">
        <v>117</v>
      </c>
      <c r="G694" s="20" t="s">
        <v>1499</v>
      </c>
      <c r="H694" s="32" t="s">
        <v>2682</v>
      </c>
      <c r="I694" s="25" t="s">
        <v>133</v>
      </c>
      <c r="J694" s="25">
        <v>90</v>
      </c>
      <c r="K694" s="25"/>
      <c r="L694" s="25"/>
      <c r="M694" s="25"/>
      <c r="N694" s="25"/>
      <c r="O694" s="25"/>
      <c r="P694" s="25"/>
      <c r="Q694" s="25"/>
      <c r="R694" s="25"/>
      <c r="S694" s="35">
        <v>44540</v>
      </c>
      <c r="T694" s="51">
        <v>44531</v>
      </c>
      <c r="U694" s="25"/>
      <c r="V694" s="25"/>
      <c r="W694" s="25">
        <v>828391237</v>
      </c>
      <c r="X694" s="26" t="s">
        <v>2683</v>
      </c>
      <c r="Y694" s="25"/>
      <c r="Z694" s="25"/>
      <c r="AA694" s="35"/>
      <c r="AB694" s="25"/>
      <c r="AC694" s="25" t="str">
        <f>TRIM(StudentScore[[#This Row],[Student Email]])</f>
        <v>jidapa.mol@student.mahidol.ac.th</v>
      </c>
    </row>
    <row r="695" spans="1:29" ht="27">
      <c r="A695" s="15">
        <v>689</v>
      </c>
      <c r="B695" s="33">
        <f t="shared" si="34"/>
        <v>64</v>
      </c>
      <c r="C695" s="27">
        <f t="shared" si="35"/>
        <v>2024</v>
      </c>
      <c r="D695" s="54"/>
      <c r="E695" s="19">
        <v>6488177</v>
      </c>
      <c r="F695" s="20" t="s">
        <v>38</v>
      </c>
      <c r="G695" s="20" t="s">
        <v>2684</v>
      </c>
      <c r="H695" s="32" t="s">
        <v>2685</v>
      </c>
      <c r="I695" s="25" t="s">
        <v>64</v>
      </c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>
        <v>886231978</v>
      </c>
      <c r="X695" s="26" t="s">
        <v>2686</v>
      </c>
      <c r="Y695" s="25"/>
      <c r="Z695" s="25"/>
      <c r="AA695" s="35"/>
      <c r="AB695" s="25"/>
      <c r="AC695" s="25" t="str">
        <f>TRIM(StudentScore[[#This Row],[Student Email]])</f>
        <v>jedsada.meo@student.mahidol.ac.th</v>
      </c>
    </row>
    <row r="696" spans="1:29" ht="27">
      <c r="A696" s="15">
        <v>690</v>
      </c>
      <c r="B696" s="33">
        <f t="shared" si="34"/>
        <v>64</v>
      </c>
      <c r="C696" s="27">
        <f t="shared" si="35"/>
        <v>2024</v>
      </c>
      <c r="D696" s="54"/>
      <c r="E696" s="19">
        <v>6488178</v>
      </c>
      <c r="F696" s="20" t="s">
        <v>38</v>
      </c>
      <c r="G696" s="20" t="s">
        <v>184</v>
      </c>
      <c r="H696" s="32" t="s">
        <v>2687</v>
      </c>
      <c r="I696" s="25" t="s">
        <v>64</v>
      </c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>
        <v>623505990</v>
      </c>
      <c r="X696" s="26" t="s">
        <v>2688</v>
      </c>
      <c r="Y696" s="25"/>
      <c r="Z696" s="25"/>
      <c r="AA696" s="35"/>
      <c r="AB696" s="25"/>
      <c r="AC696" s="25" t="str">
        <f>TRIM(StudentScore[[#This Row],[Student Email]])</f>
        <v>thanawat.jau@student.mahidol.ac.th</v>
      </c>
    </row>
    <row r="697" spans="1:29" ht="27">
      <c r="A697" s="15">
        <v>691</v>
      </c>
      <c r="B697" s="33">
        <f t="shared" si="34"/>
        <v>64</v>
      </c>
      <c r="C697" s="27">
        <f t="shared" si="35"/>
        <v>2024</v>
      </c>
      <c r="D697" s="54"/>
      <c r="E697" s="19">
        <v>6488179</v>
      </c>
      <c r="F697" s="20" t="s">
        <v>117</v>
      </c>
      <c r="G697" s="20" t="s">
        <v>2689</v>
      </c>
      <c r="H697" s="32" t="s">
        <v>2690</v>
      </c>
      <c r="I697" s="25" t="s">
        <v>64</v>
      </c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>
        <v>969516464</v>
      </c>
      <c r="X697" s="26" t="s">
        <v>2691</v>
      </c>
      <c r="Y697" s="25"/>
      <c r="Z697" s="25"/>
      <c r="AA697" s="35"/>
      <c r="AB697" s="25"/>
      <c r="AC697" s="25" t="str">
        <f>TRIM(StudentScore[[#This Row],[Student Email]])</f>
        <v>ponnapassorn.iam@student.mahidol.ac.th</v>
      </c>
    </row>
    <row r="698" spans="1:29" ht="27">
      <c r="A698" s="15">
        <v>692</v>
      </c>
      <c r="B698" s="33">
        <f t="shared" si="34"/>
        <v>64</v>
      </c>
      <c r="C698" s="27">
        <f t="shared" si="35"/>
        <v>2024</v>
      </c>
      <c r="D698" s="54"/>
      <c r="E698" s="19">
        <v>6488180</v>
      </c>
      <c r="F698" s="20" t="s">
        <v>38</v>
      </c>
      <c r="G698" s="20" t="s">
        <v>2692</v>
      </c>
      <c r="H698" s="32" t="s">
        <v>1383</v>
      </c>
      <c r="I698" s="25" t="s">
        <v>41</v>
      </c>
      <c r="J698" s="25">
        <v>550</v>
      </c>
      <c r="K698" s="25">
        <v>55</v>
      </c>
      <c r="L698" s="25">
        <v>56</v>
      </c>
      <c r="M698" s="25">
        <v>54</v>
      </c>
      <c r="N698" s="25"/>
      <c r="O698" s="25"/>
      <c r="P698" s="25"/>
      <c r="Q698" s="25"/>
      <c r="R698" s="25"/>
      <c r="S698" s="35">
        <v>44376</v>
      </c>
      <c r="T698" s="51">
        <v>44378</v>
      </c>
      <c r="U698" s="25"/>
      <c r="V698" s="25"/>
      <c r="W698" s="25">
        <v>815153028</v>
      </c>
      <c r="X698" s="26" t="s">
        <v>2693</v>
      </c>
      <c r="Y698" s="25"/>
      <c r="Z698" s="25"/>
      <c r="AA698" s="35"/>
      <c r="AB698" s="25"/>
      <c r="AC698" s="25" t="str">
        <f>TRIM(StudentScore[[#This Row],[Student Email]])</f>
        <v>sukan.hua@student.mahidol.ac.th</v>
      </c>
    </row>
    <row r="699" spans="1:29" ht="27">
      <c r="A699" s="15">
        <v>693</v>
      </c>
      <c r="B699" s="33">
        <f t="shared" si="34"/>
        <v>64</v>
      </c>
      <c r="C699" s="27">
        <f t="shared" si="35"/>
        <v>2024</v>
      </c>
      <c r="D699" s="54"/>
      <c r="E699" s="19">
        <v>6488181</v>
      </c>
      <c r="F699" s="20" t="s">
        <v>117</v>
      </c>
      <c r="G699" s="20" t="s">
        <v>2694</v>
      </c>
      <c r="H699" s="32" t="s">
        <v>2695</v>
      </c>
      <c r="I699" s="25" t="s">
        <v>48</v>
      </c>
      <c r="J699" s="25">
        <v>635</v>
      </c>
      <c r="K699" s="25">
        <v>390</v>
      </c>
      <c r="L699" s="25">
        <v>245</v>
      </c>
      <c r="M699" s="25"/>
      <c r="N699" s="25"/>
      <c r="O699" s="25"/>
      <c r="P699" s="25"/>
      <c r="Q699" s="25"/>
      <c r="R699" s="25"/>
      <c r="S699" s="35">
        <v>44104</v>
      </c>
      <c r="T699" s="51">
        <v>44378</v>
      </c>
      <c r="U699" s="25"/>
      <c r="V699" s="25"/>
      <c r="W699" s="25">
        <v>949454491</v>
      </c>
      <c r="X699" s="26" t="s">
        <v>2696</v>
      </c>
      <c r="Y699" s="25"/>
      <c r="Z699" s="25"/>
      <c r="AA699" s="35"/>
      <c r="AB699" s="25"/>
      <c r="AC699" s="25" t="str">
        <f>TRIM(StudentScore[[#This Row],[Student Email]])</f>
        <v>thadeeya.dua@student.mahidol.ac.th</v>
      </c>
    </row>
    <row r="700" spans="1:29" ht="27">
      <c r="A700" s="15">
        <v>694</v>
      </c>
      <c r="B700" s="30">
        <f t="shared" si="34"/>
        <v>64</v>
      </c>
      <c r="C700" s="27">
        <f t="shared" si="35"/>
        <v>2024</v>
      </c>
      <c r="D700" s="54"/>
      <c r="E700" s="19">
        <v>6488182</v>
      </c>
      <c r="F700" s="20" t="s">
        <v>38</v>
      </c>
      <c r="G700" s="14" t="s">
        <v>2697</v>
      </c>
      <c r="H700" s="18" t="s">
        <v>2698</v>
      </c>
      <c r="I700" s="25" t="s">
        <v>64</v>
      </c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>
        <v>863270911</v>
      </c>
      <c r="X700" s="26" t="s">
        <v>2699</v>
      </c>
      <c r="Y700" s="25"/>
      <c r="Z700" s="25"/>
      <c r="AA700" s="35"/>
      <c r="AB700" s="25"/>
      <c r="AC700" s="25" t="str">
        <f>TRIM(StudentScore[[#This Row],[Student Email]])</f>
        <v>nattanon.chn@student.mahidol.ac.th</v>
      </c>
    </row>
    <row r="701" spans="1:29" ht="27">
      <c r="A701" s="15">
        <v>695</v>
      </c>
      <c r="B701" s="33">
        <f t="shared" ref="B701:B741" si="36">VALUE(LEFT(E701,2))</f>
        <v>64</v>
      </c>
      <c r="C701" s="27">
        <f t="shared" ref="C701:C741" si="37">VALUE("25"&amp;B701)-543+3</f>
        <v>2024</v>
      </c>
      <c r="D701" s="54"/>
      <c r="E701" s="23">
        <v>6488183</v>
      </c>
      <c r="F701" s="24" t="s">
        <v>38</v>
      </c>
      <c r="G701" s="20" t="s">
        <v>2700</v>
      </c>
      <c r="H701" s="32" t="s">
        <v>2701</v>
      </c>
      <c r="I701" s="25" t="s">
        <v>64</v>
      </c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>
        <v>957525617</v>
      </c>
      <c r="X701" s="26" t="s">
        <v>2702</v>
      </c>
      <c r="Y701" s="25"/>
      <c r="Z701" s="25"/>
      <c r="AA701" s="35"/>
      <c r="AB701" s="25"/>
      <c r="AC701" s="25" t="str">
        <f>TRIM(StudentScore[[#This Row],[Student Email]])</f>
        <v>jatenipat.aus@student.mahidol.ac.th</v>
      </c>
    </row>
    <row r="702" spans="1:29" ht="27">
      <c r="A702" s="15">
        <v>696</v>
      </c>
      <c r="B702" s="33">
        <f t="shared" si="36"/>
        <v>64</v>
      </c>
      <c r="C702" s="27">
        <f t="shared" si="37"/>
        <v>2024</v>
      </c>
      <c r="D702" s="54"/>
      <c r="E702" s="19">
        <v>6488184</v>
      </c>
      <c r="F702" s="20" t="s">
        <v>117</v>
      </c>
      <c r="G702" s="20" t="s">
        <v>2703</v>
      </c>
      <c r="H702" s="32" t="s">
        <v>2704</v>
      </c>
      <c r="I702" s="25" t="s">
        <v>53</v>
      </c>
      <c r="J702" s="25">
        <v>85</v>
      </c>
      <c r="K702" s="25"/>
      <c r="L702" s="25"/>
      <c r="M702" s="25"/>
      <c r="N702" s="25"/>
      <c r="O702" s="25"/>
      <c r="P702" s="25"/>
      <c r="Q702" s="25"/>
      <c r="R702" s="25"/>
      <c r="S702" s="35">
        <v>44644</v>
      </c>
      <c r="T702" s="35">
        <v>44945</v>
      </c>
      <c r="U702" s="25"/>
      <c r="V702" s="25"/>
      <c r="W702" s="25">
        <v>988108274</v>
      </c>
      <c r="X702" s="26" t="s">
        <v>2705</v>
      </c>
      <c r="Y702" s="25"/>
      <c r="Z702" s="25"/>
      <c r="AA702" s="35"/>
      <c r="AB702" s="25"/>
      <c r="AC702" s="25" t="str">
        <f>TRIM(StudentScore[[#This Row],[Student Email]])</f>
        <v>runchida.ana@student.mahidol.ac.th</v>
      </c>
    </row>
    <row r="703" spans="1:29" ht="27">
      <c r="A703" s="15">
        <v>697</v>
      </c>
      <c r="B703" s="33">
        <f t="shared" si="36"/>
        <v>64</v>
      </c>
      <c r="C703" s="27">
        <f t="shared" si="37"/>
        <v>2024</v>
      </c>
      <c r="D703" s="54"/>
      <c r="E703" s="19">
        <v>6488185</v>
      </c>
      <c r="F703" s="20" t="s">
        <v>38</v>
      </c>
      <c r="G703" s="20" t="s">
        <v>2706</v>
      </c>
      <c r="H703" s="32" t="s">
        <v>2707</v>
      </c>
      <c r="I703" s="25" t="s">
        <v>64</v>
      </c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>
        <v>911515354</v>
      </c>
      <c r="X703" s="26" t="s">
        <v>2708</v>
      </c>
      <c r="Y703" s="25"/>
      <c r="Z703" s="25"/>
      <c r="AA703" s="35"/>
      <c r="AB703" s="25"/>
      <c r="AC703" s="25" t="str">
        <f>TRIM(StudentScore[[#This Row],[Student Email]])</f>
        <v>sanphet.sur@student.mahidol.ac.th</v>
      </c>
    </row>
    <row r="704" spans="1:29" ht="27">
      <c r="A704" s="15">
        <v>698</v>
      </c>
      <c r="B704" s="33">
        <f t="shared" si="36"/>
        <v>64</v>
      </c>
      <c r="C704" s="27">
        <f t="shared" si="37"/>
        <v>2024</v>
      </c>
      <c r="D704" s="54"/>
      <c r="E704" s="19">
        <v>6488186</v>
      </c>
      <c r="F704" s="20" t="s">
        <v>117</v>
      </c>
      <c r="G704" s="20" t="s">
        <v>2709</v>
      </c>
      <c r="H704" s="32" t="s">
        <v>2710</v>
      </c>
      <c r="I704" s="25" t="s">
        <v>64</v>
      </c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>
        <v>820599356</v>
      </c>
      <c r="X704" s="26" t="s">
        <v>2711</v>
      </c>
      <c r="Y704" s="25"/>
      <c r="Z704" s="25"/>
      <c r="AA704" s="35"/>
      <c r="AB704" s="25"/>
      <c r="AC704" s="25" t="str">
        <f>TRIM(StudentScore[[#This Row],[Student Email]])</f>
        <v>prapawarin.sut@student.mahidol.ac.th</v>
      </c>
    </row>
    <row r="705" spans="1:29" ht="27">
      <c r="A705" s="15">
        <v>699</v>
      </c>
      <c r="B705" s="33">
        <f t="shared" si="36"/>
        <v>64</v>
      </c>
      <c r="C705" s="27">
        <f t="shared" si="37"/>
        <v>2024</v>
      </c>
      <c r="D705" s="54"/>
      <c r="E705" s="19">
        <v>6488187</v>
      </c>
      <c r="F705" s="20" t="s">
        <v>117</v>
      </c>
      <c r="G705" s="20" t="s">
        <v>2712</v>
      </c>
      <c r="H705" s="32" t="s">
        <v>2713</v>
      </c>
      <c r="I705" s="25" t="s">
        <v>64</v>
      </c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>
        <v>811136922</v>
      </c>
      <c r="X705" s="26" t="s">
        <v>2714</v>
      </c>
      <c r="Y705" s="25"/>
      <c r="Z705" s="25"/>
      <c r="AA705" s="35"/>
      <c r="AB705" s="25"/>
      <c r="AC705" s="25" t="str">
        <f>TRIM(StudentScore[[#This Row],[Student Email]])</f>
        <v>tayapa.san@student.mahidol.ac.th</v>
      </c>
    </row>
    <row r="706" spans="1:29" ht="27">
      <c r="A706" s="15">
        <v>700</v>
      </c>
      <c r="B706" s="33">
        <f t="shared" si="36"/>
        <v>64</v>
      </c>
      <c r="C706" s="27">
        <f t="shared" si="37"/>
        <v>2024</v>
      </c>
      <c r="D706" s="54"/>
      <c r="E706" s="19">
        <v>6488188</v>
      </c>
      <c r="F706" s="20" t="s">
        <v>38</v>
      </c>
      <c r="G706" s="20" t="s">
        <v>2715</v>
      </c>
      <c r="H706" s="32" t="s">
        <v>2716</v>
      </c>
      <c r="I706" s="25" t="s">
        <v>102</v>
      </c>
      <c r="J706" s="25">
        <v>90</v>
      </c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>
        <v>958274875</v>
      </c>
      <c r="X706" s="26" t="s">
        <v>2717</v>
      </c>
      <c r="Y706" s="25"/>
      <c r="Z706" s="25"/>
      <c r="AA706" s="35"/>
      <c r="AB706" s="25"/>
      <c r="AC706" s="25" t="str">
        <f>TRIM(StudentScore[[#This Row],[Student Email]])</f>
        <v>kunach.sam@student.mahidol.ac.th</v>
      </c>
    </row>
    <row r="707" spans="1:29" ht="27">
      <c r="A707" s="15">
        <v>701</v>
      </c>
      <c r="B707" s="33">
        <f t="shared" si="36"/>
        <v>64</v>
      </c>
      <c r="C707" s="27">
        <f t="shared" si="37"/>
        <v>2024</v>
      </c>
      <c r="D707" s="54"/>
      <c r="E707" s="19">
        <v>6488189</v>
      </c>
      <c r="F707" s="20" t="s">
        <v>117</v>
      </c>
      <c r="G707" s="20" t="s">
        <v>2718</v>
      </c>
      <c r="H707" s="32" t="s">
        <v>2719</v>
      </c>
      <c r="I707" s="25" t="s">
        <v>64</v>
      </c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>
        <v>956531455</v>
      </c>
      <c r="X707" s="26" t="s">
        <v>2720</v>
      </c>
      <c r="Y707" s="25"/>
      <c r="Z707" s="25"/>
      <c r="AA707" s="35"/>
      <c r="AB707" s="25"/>
      <c r="AC707" s="25" t="str">
        <f>TRIM(StudentScore[[#This Row],[Student Email]])</f>
        <v>chommakorn.son@student.mahidol.ac.th</v>
      </c>
    </row>
    <row r="708" spans="1:29" ht="27">
      <c r="A708" s="15">
        <v>702</v>
      </c>
      <c r="B708" s="33">
        <f t="shared" si="36"/>
        <v>64</v>
      </c>
      <c r="C708" s="27">
        <f t="shared" si="37"/>
        <v>2024</v>
      </c>
      <c r="D708" s="54"/>
      <c r="E708" s="19">
        <v>6488190</v>
      </c>
      <c r="F708" s="20" t="s">
        <v>117</v>
      </c>
      <c r="G708" s="20" t="s">
        <v>2721</v>
      </c>
      <c r="H708" s="32" t="s">
        <v>2722</v>
      </c>
      <c r="I708" s="25" t="s">
        <v>64</v>
      </c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>
        <v>816280237</v>
      </c>
      <c r="X708" s="26" t="s">
        <v>2723</v>
      </c>
      <c r="Y708" s="25"/>
      <c r="Z708" s="25"/>
      <c r="AA708" s="35"/>
      <c r="AB708" s="25"/>
      <c r="AC708" s="25" t="str">
        <f>TRIM(StudentScore[[#This Row],[Student Email]])</f>
        <v>nattanicha.sis@student.mahidol.ac.th</v>
      </c>
    </row>
    <row r="709" spans="1:29" ht="27">
      <c r="A709" s="15">
        <v>703</v>
      </c>
      <c r="B709" s="33">
        <f t="shared" si="36"/>
        <v>64</v>
      </c>
      <c r="C709" s="27">
        <f t="shared" si="37"/>
        <v>2024</v>
      </c>
      <c r="D709" s="54"/>
      <c r="E709" s="19">
        <v>6488191</v>
      </c>
      <c r="F709" s="20" t="s">
        <v>38</v>
      </c>
      <c r="G709" s="20" t="s">
        <v>2724</v>
      </c>
      <c r="H709" s="32" t="s">
        <v>2725</v>
      </c>
      <c r="I709" s="25" t="s">
        <v>64</v>
      </c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>
        <v>946910770</v>
      </c>
      <c r="X709" s="26" t="s">
        <v>2726</v>
      </c>
      <c r="Y709" s="25"/>
      <c r="Z709" s="25"/>
      <c r="AA709" s="35"/>
      <c r="AB709" s="25"/>
      <c r="AC709" s="25" t="str">
        <f>TRIM(StudentScore[[#This Row],[Student Email]])</f>
        <v>poohtanmai.sir@student.mahidol.ac.th</v>
      </c>
    </row>
    <row r="710" spans="1:29" ht="27">
      <c r="A710" s="15">
        <v>704</v>
      </c>
      <c r="B710" s="33">
        <f t="shared" si="36"/>
        <v>64</v>
      </c>
      <c r="C710" s="27">
        <f t="shared" si="37"/>
        <v>2024</v>
      </c>
      <c r="D710" s="54"/>
      <c r="E710" s="19">
        <v>6488192</v>
      </c>
      <c r="F710" s="20" t="s">
        <v>117</v>
      </c>
      <c r="G710" s="20" t="s">
        <v>2727</v>
      </c>
      <c r="H710" s="32" t="s">
        <v>2728</v>
      </c>
      <c r="I710" s="25" t="s">
        <v>64</v>
      </c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>
        <v>858025353</v>
      </c>
      <c r="X710" s="26" t="s">
        <v>2729</v>
      </c>
      <c r="Y710" s="25"/>
      <c r="Z710" s="25"/>
      <c r="AA710" s="35"/>
      <c r="AB710" s="25"/>
      <c r="AC710" s="25" t="str">
        <f>TRIM(StudentScore[[#This Row],[Student Email]])</f>
        <v>napatsorn.luc@student.mahidol.ac.th</v>
      </c>
    </row>
    <row r="711" spans="1:29" ht="27">
      <c r="A711" s="15">
        <v>705</v>
      </c>
      <c r="B711" s="33">
        <f t="shared" si="36"/>
        <v>64</v>
      </c>
      <c r="C711" s="27">
        <f t="shared" si="37"/>
        <v>2024</v>
      </c>
      <c r="D711" s="54"/>
      <c r="E711" s="19">
        <v>6488193</v>
      </c>
      <c r="F711" s="20" t="s">
        <v>38</v>
      </c>
      <c r="G711" s="20" t="s">
        <v>700</v>
      </c>
      <c r="H711" s="32" t="s">
        <v>2730</v>
      </c>
      <c r="I711" s="25" t="s">
        <v>64</v>
      </c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>
        <v>634514989</v>
      </c>
      <c r="X711" s="26" t="s">
        <v>2731</v>
      </c>
      <c r="Y711" s="25"/>
      <c r="Z711" s="25"/>
      <c r="AA711" s="35"/>
      <c r="AB711" s="25"/>
      <c r="AC711" s="25" t="str">
        <f>TRIM(StudentScore[[#This Row],[Student Email]])</f>
        <v>thanapat.rit@student.mahidol.ac.th</v>
      </c>
    </row>
    <row r="712" spans="1:29" ht="27">
      <c r="A712" s="15">
        <v>706</v>
      </c>
      <c r="B712" s="33">
        <f t="shared" si="36"/>
        <v>64</v>
      </c>
      <c r="C712" s="27">
        <f t="shared" si="37"/>
        <v>2024</v>
      </c>
      <c r="D712" s="54"/>
      <c r="E712" s="19">
        <v>6488194</v>
      </c>
      <c r="F712" s="20" t="s">
        <v>117</v>
      </c>
      <c r="G712" s="20" t="s">
        <v>2732</v>
      </c>
      <c r="H712" s="32" t="s">
        <v>2733</v>
      </c>
      <c r="I712" s="25" t="s">
        <v>64</v>
      </c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>
        <v>928039779</v>
      </c>
      <c r="X712" s="26" t="s">
        <v>2734</v>
      </c>
      <c r="Y712" s="25"/>
      <c r="Z712" s="25"/>
      <c r="AA712" s="35"/>
      <c r="AB712" s="25"/>
      <c r="AC712" s="25" t="str">
        <f>TRIM(StudentScore[[#This Row],[Student Email]])</f>
        <v>prakaikeaw.rat@student.mahidol.ac.th</v>
      </c>
    </row>
    <row r="713" spans="1:29" ht="27">
      <c r="A713" s="15">
        <v>707</v>
      </c>
      <c r="B713" s="33">
        <f t="shared" si="36"/>
        <v>64</v>
      </c>
      <c r="C713" s="27">
        <f t="shared" si="37"/>
        <v>2024</v>
      </c>
      <c r="D713" s="54"/>
      <c r="E713" s="19">
        <v>6488195</v>
      </c>
      <c r="F713" s="20" t="s">
        <v>117</v>
      </c>
      <c r="G713" s="20" t="s">
        <v>2735</v>
      </c>
      <c r="H713" s="32" t="s">
        <v>480</v>
      </c>
      <c r="I713" s="25" t="s">
        <v>64</v>
      </c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>
        <v>811514348</v>
      </c>
      <c r="X713" s="26" t="s">
        <v>2736</v>
      </c>
      <c r="Y713" s="25"/>
      <c r="Z713" s="25"/>
      <c r="AA713" s="35"/>
      <c r="AB713" s="25"/>
      <c r="AC713" s="25" t="str">
        <f>TRIM(StudentScore[[#This Row],[Student Email]])</f>
        <v>sarutaya.yue@student.mahidol.ac.th</v>
      </c>
    </row>
    <row r="714" spans="1:29" ht="27">
      <c r="A714" s="15">
        <v>708</v>
      </c>
      <c r="B714" s="33">
        <f t="shared" si="36"/>
        <v>64</v>
      </c>
      <c r="C714" s="27">
        <f t="shared" si="37"/>
        <v>2024</v>
      </c>
      <c r="D714" s="54"/>
      <c r="E714" s="19">
        <v>6488196</v>
      </c>
      <c r="F714" s="20" t="s">
        <v>38</v>
      </c>
      <c r="G714" s="20" t="s">
        <v>2737</v>
      </c>
      <c r="H714" s="32" t="s">
        <v>2738</v>
      </c>
      <c r="I714" s="25" t="s">
        <v>64</v>
      </c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>
        <v>992525669</v>
      </c>
      <c r="X714" s="26" t="s">
        <v>2739</v>
      </c>
      <c r="Y714" s="25"/>
      <c r="Z714" s="25"/>
      <c r="AA714" s="35"/>
      <c r="AB714" s="25"/>
      <c r="AC714" s="25" t="str">
        <f>TRIM(StudentScore[[#This Row],[Student Email]])</f>
        <v>waritthorn.mah@student.mahidol.ac.th</v>
      </c>
    </row>
    <row r="715" spans="1:29" ht="27">
      <c r="A715" s="15">
        <v>709</v>
      </c>
      <c r="B715" s="33">
        <f t="shared" si="36"/>
        <v>64</v>
      </c>
      <c r="C715" s="27">
        <f t="shared" si="37"/>
        <v>2024</v>
      </c>
      <c r="D715" s="54"/>
      <c r="E715" s="19">
        <v>6488197</v>
      </c>
      <c r="F715" s="20" t="s">
        <v>117</v>
      </c>
      <c r="G715" s="20" t="s">
        <v>1499</v>
      </c>
      <c r="H715" s="32" t="s">
        <v>2740</v>
      </c>
      <c r="I715" s="25" t="s">
        <v>64</v>
      </c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>
        <v>945586501</v>
      </c>
      <c r="X715" s="26" t="s">
        <v>2741</v>
      </c>
      <c r="Y715" s="25"/>
      <c r="Z715" s="25"/>
      <c r="AA715" s="35"/>
      <c r="AB715" s="25"/>
      <c r="AC715" s="25" t="str">
        <f>TRIM(StudentScore[[#This Row],[Student Email]])</f>
        <v>jidapa.pur@student.mahidol.ac.th</v>
      </c>
    </row>
    <row r="716" spans="1:29" ht="27">
      <c r="A716" s="15">
        <v>710</v>
      </c>
      <c r="B716" s="33">
        <f t="shared" si="36"/>
        <v>64</v>
      </c>
      <c r="C716" s="27">
        <f t="shared" si="37"/>
        <v>2024</v>
      </c>
      <c r="D716" s="54"/>
      <c r="E716" s="19">
        <v>6488200</v>
      </c>
      <c r="F716" s="20" t="s">
        <v>38</v>
      </c>
      <c r="G716" s="20" t="s">
        <v>2742</v>
      </c>
      <c r="H716" s="32" t="s">
        <v>2743</v>
      </c>
      <c r="I716" s="25" t="s">
        <v>64</v>
      </c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>
        <v>961806062</v>
      </c>
      <c r="X716" s="26" t="s">
        <v>2744</v>
      </c>
      <c r="Y716" s="25"/>
      <c r="Z716" s="25"/>
      <c r="AA716" s="35"/>
      <c r="AB716" s="25"/>
      <c r="AC716" s="25" t="str">
        <f>TRIM(StudentScore[[#This Row],[Student Email]])</f>
        <v>kornkawee.por@student.mahidol.ac.th</v>
      </c>
    </row>
    <row r="717" spans="1:29" ht="27">
      <c r="A717" s="15"/>
      <c r="B717" s="33">
        <f t="shared" si="36"/>
        <v>64</v>
      </c>
      <c r="C717" s="27">
        <f t="shared" si="37"/>
        <v>2024</v>
      </c>
      <c r="D717" s="54"/>
      <c r="E717" s="19">
        <v>6488201</v>
      </c>
      <c r="F717" s="20" t="s">
        <v>117</v>
      </c>
      <c r="G717" s="20" t="s">
        <v>2745</v>
      </c>
      <c r="H717" s="32" t="s">
        <v>2746</v>
      </c>
      <c r="I717" s="25" t="s">
        <v>64</v>
      </c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>
        <v>863626371</v>
      </c>
      <c r="X717" s="26" t="s">
        <v>2747</v>
      </c>
      <c r="Y717" s="25"/>
      <c r="Z717" s="25"/>
      <c r="AA717" s="35"/>
      <c r="AB717" s="25"/>
      <c r="AC717" s="25" t="str">
        <f>TRIM(StudentScore[[#This Row],[Student Email]])</f>
        <v>piangfa.boo@student.mahidol.ac.th</v>
      </c>
    </row>
    <row r="718" spans="1:29" ht="27">
      <c r="A718" s="15"/>
      <c r="B718" s="33">
        <f t="shared" si="36"/>
        <v>64</v>
      </c>
      <c r="C718" s="27">
        <f t="shared" si="37"/>
        <v>2024</v>
      </c>
      <c r="D718" s="54"/>
      <c r="E718" s="19">
        <v>6488202</v>
      </c>
      <c r="F718" s="20" t="s">
        <v>117</v>
      </c>
      <c r="G718" s="20" t="s">
        <v>651</v>
      </c>
      <c r="H718" s="32" t="s">
        <v>2748</v>
      </c>
      <c r="I718" s="25" t="s">
        <v>64</v>
      </c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>
        <v>619954884</v>
      </c>
      <c r="X718" s="26" t="s">
        <v>2749</v>
      </c>
      <c r="Y718" s="25"/>
      <c r="Z718" s="25"/>
      <c r="AA718" s="35"/>
      <c r="AB718" s="25"/>
      <c r="AC718" s="25" t="str">
        <f>TRIM(StudentScore[[#This Row],[Student Email]])</f>
        <v>jiratchaya.dun@student.mahidol.ac.th</v>
      </c>
    </row>
    <row r="719" spans="1:29" ht="27">
      <c r="A719" s="15"/>
      <c r="B719" s="33">
        <f t="shared" si="36"/>
        <v>64</v>
      </c>
      <c r="C719" s="27">
        <f t="shared" si="37"/>
        <v>2024</v>
      </c>
      <c r="D719" s="54"/>
      <c r="E719" s="19">
        <v>6488203</v>
      </c>
      <c r="F719" s="20" t="s">
        <v>117</v>
      </c>
      <c r="G719" s="20" t="s">
        <v>2750</v>
      </c>
      <c r="H719" s="32" t="s">
        <v>2751</v>
      </c>
      <c r="I719" s="25" t="s">
        <v>48</v>
      </c>
      <c r="J719" s="25">
        <v>635</v>
      </c>
      <c r="K719" s="25">
        <v>340</v>
      </c>
      <c r="L719" s="25">
        <v>295</v>
      </c>
      <c r="M719" s="25"/>
      <c r="N719" s="25"/>
      <c r="O719" s="25"/>
      <c r="P719" s="25"/>
      <c r="Q719" s="25"/>
      <c r="R719" s="25"/>
      <c r="S719" s="35">
        <v>44505</v>
      </c>
      <c r="T719" s="51">
        <v>44531</v>
      </c>
      <c r="U719" s="25"/>
      <c r="V719" s="25"/>
      <c r="W719" s="25">
        <v>867603345</v>
      </c>
      <c r="X719" s="26" t="s">
        <v>2752</v>
      </c>
      <c r="Y719" s="25"/>
      <c r="Z719" s="25"/>
      <c r="AA719" s="35"/>
      <c r="AB719" s="25"/>
      <c r="AC719" s="25" t="str">
        <f>TRIM(StudentScore[[#This Row],[Student Email]])</f>
        <v>phacharaphan.cha@student.mahidol.ac.th</v>
      </c>
    </row>
    <row r="720" spans="1:29" ht="27">
      <c r="A720" s="15"/>
      <c r="B720" s="33">
        <f t="shared" si="36"/>
        <v>64</v>
      </c>
      <c r="C720" s="27">
        <f t="shared" si="37"/>
        <v>2024</v>
      </c>
      <c r="D720" s="54"/>
      <c r="E720" s="19">
        <v>6488204</v>
      </c>
      <c r="F720" s="20" t="s">
        <v>117</v>
      </c>
      <c r="G720" s="20" t="s">
        <v>1737</v>
      </c>
      <c r="H720" s="32" t="s">
        <v>2753</v>
      </c>
      <c r="I720" s="25" t="s">
        <v>64</v>
      </c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>
        <v>946288130</v>
      </c>
      <c r="X720" s="26" t="s">
        <v>2754</v>
      </c>
      <c r="Y720" s="25"/>
      <c r="Z720" s="25"/>
      <c r="AA720" s="35"/>
      <c r="AB720" s="25"/>
      <c r="AC720" s="25" t="str">
        <f>TRIM(StudentScore[[#This Row],[Student Email]])</f>
        <v>pimmada.cho@student.mahidol.ac.th</v>
      </c>
    </row>
    <row r="721" spans="1:29" ht="27">
      <c r="A721" s="15"/>
      <c r="B721" s="33">
        <f t="shared" si="36"/>
        <v>64</v>
      </c>
      <c r="C721" s="27">
        <f t="shared" si="37"/>
        <v>2024</v>
      </c>
      <c r="D721" s="54"/>
      <c r="E721" s="19">
        <v>6488205</v>
      </c>
      <c r="F721" s="20" t="s">
        <v>38</v>
      </c>
      <c r="G721" s="20" t="s">
        <v>2755</v>
      </c>
      <c r="H721" s="32" t="s">
        <v>2756</v>
      </c>
      <c r="I721" s="25" t="s">
        <v>41</v>
      </c>
      <c r="J721" s="25">
        <v>543</v>
      </c>
      <c r="K721" s="25">
        <v>54</v>
      </c>
      <c r="L721" s="25">
        <v>54</v>
      </c>
      <c r="M721" s="25">
        <v>55</v>
      </c>
      <c r="N721" s="25"/>
      <c r="O721" s="25"/>
      <c r="P721" s="25"/>
      <c r="Q721" s="25"/>
      <c r="R721" s="25"/>
      <c r="S721" s="35">
        <v>44376</v>
      </c>
      <c r="T721" s="51">
        <v>44409</v>
      </c>
      <c r="U721" s="25"/>
      <c r="V721" s="25"/>
      <c r="W721" s="25">
        <v>933269966</v>
      </c>
      <c r="X721" s="26" t="s">
        <v>2757</v>
      </c>
      <c r="Y721" s="25"/>
      <c r="Z721" s="25"/>
      <c r="AA721" s="35"/>
      <c r="AB721" s="25"/>
      <c r="AC721" s="25" t="str">
        <f>TRIM(StudentScore[[#This Row],[Student Email]])</f>
        <v>kullapat.jul@student.mahidol.ac.th</v>
      </c>
    </row>
    <row r="722" spans="1:29" ht="27">
      <c r="A722" s="15"/>
      <c r="B722" s="33">
        <f t="shared" si="36"/>
        <v>64</v>
      </c>
      <c r="C722" s="27">
        <f t="shared" si="37"/>
        <v>2024</v>
      </c>
      <c r="D722" s="54"/>
      <c r="E722" s="19">
        <v>6488206</v>
      </c>
      <c r="F722" s="20" t="s">
        <v>38</v>
      </c>
      <c r="G722" s="20" t="s">
        <v>2758</v>
      </c>
      <c r="H722" s="32" t="s">
        <v>2759</v>
      </c>
      <c r="I722" s="25" t="s">
        <v>64</v>
      </c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>
        <v>822544153</v>
      </c>
      <c r="X722" s="26" t="s">
        <v>2760</v>
      </c>
      <c r="Y722" s="25"/>
      <c r="Z722" s="25"/>
      <c r="AA722" s="35"/>
      <c r="AB722" s="25"/>
      <c r="AC722" s="25" t="str">
        <f>TRIM(StudentScore[[#This Row],[Student Email]])</f>
        <v>kritchanapat.jun@student.mahidol.ac.th</v>
      </c>
    </row>
    <row r="723" spans="1:29" ht="27">
      <c r="A723" s="15"/>
      <c r="B723" s="33">
        <f t="shared" si="36"/>
        <v>64</v>
      </c>
      <c r="C723" s="27">
        <f t="shared" si="37"/>
        <v>2024</v>
      </c>
      <c r="D723" s="54"/>
      <c r="E723" s="19">
        <v>6488207</v>
      </c>
      <c r="F723" s="20" t="s">
        <v>117</v>
      </c>
      <c r="G723" s="20" t="s">
        <v>2761</v>
      </c>
      <c r="H723" s="32" t="s">
        <v>2762</v>
      </c>
      <c r="I723" s="25" t="s">
        <v>64</v>
      </c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>
        <v>863325964</v>
      </c>
      <c r="X723" s="26" t="s">
        <v>2763</v>
      </c>
      <c r="Y723" s="25"/>
      <c r="Z723" s="25"/>
      <c r="AA723" s="35"/>
      <c r="AB723" s="25"/>
      <c r="AC723" s="25" t="str">
        <f>TRIM(StudentScore[[#This Row],[Student Email]])</f>
        <v>saranporn.chi@student.mahidol.ac.th</v>
      </c>
    </row>
    <row r="724" spans="1:29" ht="27">
      <c r="A724" s="15"/>
      <c r="B724" s="33">
        <f t="shared" si="36"/>
        <v>64</v>
      </c>
      <c r="C724" s="27">
        <f t="shared" si="37"/>
        <v>2024</v>
      </c>
      <c r="D724" s="54"/>
      <c r="E724" s="19">
        <v>6488208</v>
      </c>
      <c r="F724" s="20" t="s">
        <v>117</v>
      </c>
      <c r="G724" s="20" t="s">
        <v>2764</v>
      </c>
      <c r="H724" s="32" t="s">
        <v>2765</v>
      </c>
      <c r="I724" s="25" t="s">
        <v>41</v>
      </c>
      <c r="J724" s="25">
        <v>563</v>
      </c>
      <c r="K724" s="25">
        <v>56</v>
      </c>
      <c r="L724" s="25">
        <v>57</v>
      </c>
      <c r="M724" s="25">
        <v>56</v>
      </c>
      <c r="N724" s="25"/>
      <c r="O724" s="25"/>
      <c r="P724" s="25"/>
      <c r="Q724" s="25"/>
      <c r="R724" s="25"/>
      <c r="S724" s="35">
        <v>44376</v>
      </c>
      <c r="T724" s="51">
        <v>44378</v>
      </c>
      <c r="U724" s="25"/>
      <c r="V724" s="25"/>
      <c r="W724" s="25">
        <v>822800264</v>
      </c>
      <c r="X724" s="26" t="s">
        <v>2766</v>
      </c>
      <c r="Y724" s="25"/>
      <c r="Z724" s="25"/>
      <c r="AA724" s="35"/>
      <c r="AB724" s="25"/>
      <c r="AC724" s="25" t="str">
        <f>TRIM(StudentScore[[#This Row],[Student Email]])</f>
        <v>phatthranit.jun@student.mahidol.ac.th</v>
      </c>
    </row>
    <row r="725" spans="1:29" ht="27">
      <c r="A725" s="15"/>
      <c r="B725" s="33">
        <f t="shared" si="36"/>
        <v>64</v>
      </c>
      <c r="C725" s="27">
        <f t="shared" si="37"/>
        <v>2024</v>
      </c>
      <c r="D725" s="54"/>
      <c r="E725" s="19">
        <v>6488209</v>
      </c>
      <c r="F725" s="20" t="s">
        <v>117</v>
      </c>
      <c r="G725" s="20" t="s">
        <v>2767</v>
      </c>
      <c r="H725" s="32" t="s">
        <v>2768</v>
      </c>
      <c r="I725" s="25" t="s">
        <v>124</v>
      </c>
      <c r="J725" s="25">
        <v>6.5</v>
      </c>
      <c r="K725" s="25">
        <v>6.5</v>
      </c>
      <c r="L725" s="25">
        <v>6</v>
      </c>
      <c r="M725" s="25">
        <v>6</v>
      </c>
      <c r="N725" s="25">
        <v>7</v>
      </c>
      <c r="O725" s="25"/>
      <c r="P725" s="25"/>
      <c r="Q725" s="25"/>
      <c r="R725" s="25"/>
      <c r="S725" s="35">
        <v>44100</v>
      </c>
      <c r="T725" s="51">
        <v>44378</v>
      </c>
      <c r="U725" s="25"/>
      <c r="V725" s="25"/>
      <c r="W725" s="25">
        <v>905699086</v>
      </c>
      <c r="X725" s="26" t="s">
        <v>2769</v>
      </c>
      <c r="Y725" s="25"/>
      <c r="Z725" s="25"/>
      <c r="AA725" s="35"/>
      <c r="AB725" s="25"/>
      <c r="AC725" s="25" t="str">
        <f>TRIM(StudentScore[[#This Row],[Student Email]])</f>
        <v>narita.cha@student.mahidol.ac.th</v>
      </c>
    </row>
    <row r="726" spans="1:29" ht="27">
      <c r="A726" s="15"/>
      <c r="B726" s="33">
        <f t="shared" si="36"/>
        <v>64</v>
      </c>
      <c r="C726" s="27">
        <f t="shared" si="37"/>
        <v>2024</v>
      </c>
      <c r="D726" s="54"/>
      <c r="E726" s="19">
        <v>6488210</v>
      </c>
      <c r="F726" s="20" t="s">
        <v>117</v>
      </c>
      <c r="G726" s="20" t="s">
        <v>2770</v>
      </c>
      <c r="H726" s="32" t="s">
        <v>2771</v>
      </c>
      <c r="I726" s="25" t="s">
        <v>64</v>
      </c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>
        <v>830584009</v>
      </c>
      <c r="X726" s="26" t="s">
        <v>2772</v>
      </c>
      <c r="Y726" s="25"/>
      <c r="Z726" s="25"/>
      <c r="AA726" s="35"/>
      <c r="AB726" s="25"/>
      <c r="AC726" s="25" t="str">
        <f>TRIM(StudentScore[[#This Row],[Student Email]])</f>
        <v>ravikarn.jar@student.mahidol.ac.th</v>
      </c>
    </row>
    <row r="727" spans="1:29" ht="27">
      <c r="A727" s="15"/>
      <c r="B727" s="33">
        <f t="shared" si="36"/>
        <v>64</v>
      </c>
      <c r="C727" s="27">
        <f t="shared" si="37"/>
        <v>2024</v>
      </c>
      <c r="D727" s="54"/>
      <c r="E727" s="19">
        <v>6488211</v>
      </c>
      <c r="F727" s="20" t="s">
        <v>117</v>
      </c>
      <c r="G727" s="20" t="s">
        <v>2773</v>
      </c>
      <c r="H727" s="32" t="s">
        <v>2774</v>
      </c>
      <c r="I727" s="25" t="s">
        <v>64</v>
      </c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>
        <v>928268619</v>
      </c>
      <c r="X727" s="26" t="s">
        <v>2775</v>
      </c>
      <c r="Y727" s="25"/>
      <c r="Z727" s="25"/>
      <c r="AA727" s="35"/>
      <c r="AB727" s="25"/>
      <c r="AC727" s="25" t="str">
        <f>TRIM(StudentScore[[#This Row],[Student Email]])</f>
        <v>siyaphat.jon@student.mahidol.ac.th</v>
      </c>
    </row>
    <row r="728" spans="1:29" ht="27">
      <c r="A728" s="15"/>
      <c r="B728" s="33">
        <f t="shared" si="36"/>
        <v>64</v>
      </c>
      <c r="C728" s="27">
        <f t="shared" si="37"/>
        <v>2024</v>
      </c>
      <c r="D728" s="54"/>
      <c r="E728" s="19">
        <v>6488212</v>
      </c>
      <c r="F728" s="20" t="s">
        <v>38</v>
      </c>
      <c r="G728" s="20" t="s">
        <v>2776</v>
      </c>
      <c r="H728" s="32" t="s">
        <v>2777</v>
      </c>
      <c r="I728" s="25" t="s">
        <v>124</v>
      </c>
      <c r="J728" s="25">
        <v>5.5</v>
      </c>
      <c r="K728" s="25">
        <v>5.5</v>
      </c>
      <c r="L728" s="25">
        <v>5.5</v>
      </c>
      <c r="M728" s="25">
        <v>5</v>
      </c>
      <c r="N728" s="25">
        <v>5</v>
      </c>
      <c r="O728" s="25"/>
      <c r="P728" s="25"/>
      <c r="Q728" s="25"/>
      <c r="R728" s="25"/>
      <c r="S728" s="35">
        <v>44128</v>
      </c>
      <c r="T728" s="51">
        <v>44409</v>
      </c>
      <c r="U728" s="25"/>
      <c r="V728" s="25"/>
      <c r="W728" s="25">
        <v>845558457</v>
      </c>
      <c r="X728" s="26" t="s">
        <v>2778</v>
      </c>
      <c r="Y728" s="25"/>
      <c r="Z728" s="25"/>
      <c r="AA728" s="35"/>
      <c r="AB728" s="25"/>
      <c r="AC728" s="25" t="str">
        <f>TRIM(StudentScore[[#This Row],[Student Email]])</f>
        <v>winyou.nga@student.mahidol.ac.th</v>
      </c>
    </row>
    <row r="729" spans="1:29" ht="27">
      <c r="A729" s="15"/>
      <c r="B729" s="33">
        <f t="shared" si="36"/>
        <v>64</v>
      </c>
      <c r="C729" s="27">
        <f t="shared" si="37"/>
        <v>2024</v>
      </c>
      <c r="D729" s="54"/>
      <c r="E729" s="19">
        <v>6488213</v>
      </c>
      <c r="F729" s="20" t="s">
        <v>117</v>
      </c>
      <c r="G729" s="20" t="s">
        <v>2779</v>
      </c>
      <c r="H729" s="32" t="s">
        <v>2780</v>
      </c>
      <c r="I729" s="25" t="s">
        <v>244</v>
      </c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>
        <v>834478861</v>
      </c>
      <c r="X729" s="26" t="s">
        <v>2781</v>
      </c>
      <c r="Y729" s="25"/>
      <c r="Z729" s="25"/>
      <c r="AA729" s="35"/>
      <c r="AB729" s="25"/>
      <c r="AC729" s="25" t="str">
        <f>TRIM(StudentScore[[#This Row],[Student Email]])</f>
        <v>pornprom.kew@student.mahidol.ac.th</v>
      </c>
    </row>
    <row r="730" spans="1:29" ht="27">
      <c r="A730" s="15"/>
      <c r="B730" s="33">
        <f t="shared" si="36"/>
        <v>64</v>
      </c>
      <c r="C730" s="27">
        <f t="shared" si="37"/>
        <v>2024</v>
      </c>
      <c r="D730" s="54"/>
      <c r="E730" s="19">
        <v>6488214</v>
      </c>
      <c r="F730" s="20" t="s">
        <v>117</v>
      </c>
      <c r="G730" s="20" t="s">
        <v>2782</v>
      </c>
      <c r="H730" s="32" t="s">
        <v>2783</v>
      </c>
      <c r="I730" s="25" t="s">
        <v>64</v>
      </c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>
        <v>853401636</v>
      </c>
      <c r="X730" s="26" t="s">
        <v>2784</v>
      </c>
      <c r="Y730" s="25"/>
      <c r="Z730" s="25"/>
      <c r="AA730" s="35"/>
      <c r="AB730" s="25"/>
      <c r="AC730" s="25" t="str">
        <f>TRIM(StudentScore[[#This Row],[Student Email]])</f>
        <v>voramon.kac@student.mahidol.ac.th</v>
      </c>
    </row>
    <row r="731" spans="1:29" ht="27">
      <c r="A731" s="15"/>
      <c r="B731" s="33">
        <f t="shared" si="36"/>
        <v>64</v>
      </c>
      <c r="C731" s="27">
        <f t="shared" si="37"/>
        <v>2024</v>
      </c>
      <c r="D731" s="54"/>
      <c r="E731" s="19">
        <v>6488215</v>
      </c>
      <c r="F731" s="20" t="s">
        <v>38</v>
      </c>
      <c r="G731" s="20" t="s">
        <v>838</v>
      </c>
      <c r="H731" s="32" t="s">
        <v>2785</v>
      </c>
      <c r="I731" s="25" t="s">
        <v>64</v>
      </c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>
        <v>959595926</v>
      </c>
      <c r="X731" s="26" t="s">
        <v>2786</v>
      </c>
      <c r="Y731" s="25"/>
      <c r="Z731" s="25"/>
      <c r="AA731" s="35"/>
      <c r="AB731" s="25"/>
      <c r="AC731" s="25" t="str">
        <f>TRIM(StudentScore[[#This Row],[Student Email]])</f>
        <v>pongsakorn.kon@student.mahidol.ac.th</v>
      </c>
    </row>
    <row r="732" spans="1:29" ht="27">
      <c r="A732" s="15"/>
      <c r="B732" s="33">
        <f t="shared" si="36"/>
        <v>64</v>
      </c>
      <c r="C732" s="27">
        <f t="shared" si="37"/>
        <v>2024</v>
      </c>
      <c r="D732" s="54"/>
      <c r="E732" s="19">
        <v>6488216</v>
      </c>
      <c r="F732" s="20" t="s">
        <v>38</v>
      </c>
      <c r="G732" s="20" t="s">
        <v>1733</v>
      </c>
      <c r="H732" s="32" t="s">
        <v>2787</v>
      </c>
      <c r="I732" s="25" t="s">
        <v>244</v>
      </c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>
        <v>817121126</v>
      </c>
      <c r="X732" s="26" t="s">
        <v>2788</v>
      </c>
      <c r="Y732" s="25"/>
      <c r="Z732" s="25"/>
      <c r="AA732" s="35"/>
      <c r="AB732" s="25"/>
      <c r="AC732" s="25" t="str">
        <f>TRIM(StudentScore[[#This Row],[Student Email]])</f>
        <v>noppakorn.kae@student.mahidol.ac.th</v>
      </c>
    </row>
    <row r="733" spans="1:29" ht="27">
      <c r="A733" s="15"/>
      <c r="B733" s="33">
        <f t="shared" si="36"/>
        <v>64</v>
      </c>
      <c r="C733" s="27">
        <f t="shared" si="37"/>
        <v>2024</v>
      </c>
      <c r="D733" s="54"/>
      <c r="E733" s="19">
        <v>6488217</v>
      </c>
      <c r="F733" s="20" t="s">
        <v>38</v>
      </c>
      <c r="G733" s="20" t="s">
        <v>2789</v>
      </c>
      <c r="H733" s="32" t="s">
        <v>2790</v>
      </c>
      <c r="I733" s="25" t="s">
        <v>64</v>
      </c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>
        <v>922640500</v>
      </c>
      <c r="X733" s="26" t="s">
        <v>2791</v>
      </c>
      <c r="Y733" s="25"/>
      <c r="Z733" s="25"/>
      <c r="AA733" s="35"/>
      <c r="AB733" s="25"/>
      <c r="AC733" s="25" t="str">
        <f>TRIM(StudentScore[[#This Row],[Student Email]])</f>
        <v>pattaradnai.kae@student.mahidol.ac.th</v>
      </c>
    </row>
    <row r="734" spans="1:29" ht="27">
      <c r="A734" s="15"/>
      <c r="B734" s="33">
        <f t="shared" si="36"/>
        <v>64</v>
      </c>
      <c r="C734" s="27">
        <f t="shared" si="37"/>
        <v>2024</v>
      </c>
      <c r="D734" s="54"/>
      <c r="E734" s="19">
        <v>6488218</v>
      </c>
      <c r="F734" s="20" t="s">
        <v>38</v>
      </c>
      <c r="G734" s="20" t="s">
        <v>2792</v>
      </c>
      <c r="H734" s="32" t="s">
        <v>2793</v>
      </c>
      <c r="I734" s="25" t="s">
        <v>64</v>
      </c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>
        <v>957682442</v>
      </c>
      <c r="X734" s="26" t="s">
        <v>2794</v>
      </c>
      <c r="Y734" s="25"/>
      <c r="Z734" s="25"/>
      <c r="AA734" s="35"/>
      <c r="AB734" s="25"/>
      <c r="AC734" s="25" t="str">
        <f>TRIM(StudentScore[[#This Row],[Student Email]])</f>
        <v>satchaya.aua@student.mahidol.ac.th</v>
      </c>
    </row>
    <row r="735" spans="1:29" ht="27">
      <c r="A735" s="15"/>
      <c r="B735" s="33">
        <f t="shared" si="36"/>
        <v>64</v>
      </c>
      <c r="C735" s="27">
        <f t="shared" si="37"/>
        <v>2024</v>
      </c>
      <c r="D735" s="54"/>
      <c r="E735" s="19">
        <v>6488220</v>
      </c>
      <c r="F735" s="20" t="s">
        <v>38</v>
      </c>
      <c r="G735" s="20" t="s">
        <v>1102</v>
      </c>
      <c r="H735" s="32" t="s">
        <v>2795</v>
      </c>
      <c r="I735" s="25" t="s">
        <v>64</v>
      </c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>
        <v>990861555</v>
      </c>
      <c r="X735" s="26" t="s">
        <v>2796</v>
      </c>
      <c r="Y735" s="25"/>
      <c r="Z735" s="25"/>
      <c r="AA735" s="35"/>
      <c r="AB735" s="25"/>
      <c r="AC735" s="25" t="str">
        <f>TRIM(StudentScore[[#This Row],[Student Email]])</f>
        <v>natthawat.lao@student.mahidol.ac.th</v>
      </c>
    </row>
    <row r="736" spans="1:29" ht="27">
      <c r="A736" s="15"/>
      <c r="B736" s="33">
        <f t="shared" si="36"/>
        <v>64</v>
      </c>
      <c r="C736" s="27">
        <f t="shared" si="37"/>
        <v>2024</v>
      </c>
      <c r="D736" s="54"/>
      <c r="E736" s="19">
        <v>6488221</v>
      </c>
      <c r="F736" s="20" t="s">
        <v>38</v>
      </c>
      <c r="G736" s="20" t="s">
        <v>2797</v>
      </c>
      <c r="H736" s="32" t="s">
        <v>2798</v>
      </c>
      <c r="I736" s="25" t="s">
        <v>41</v>
      </c>
      <c r="J736" s="25">
        <v>577</v>
      </c>
      <c r="K736" s="25">
        <v>64</v>
      </c>
      <c r="L736" s="25">
        <v>57</v>
      </c>
      <c r="M736" s="25">
        <v>52</v>
      </c>
      <c r="N736" s="25"/>
      <c r="O736" s="25"/>
      <c r="P736" s="25"/>
      <c r="Q736" s="25"/>
      <c r="R736" s="25"/>
      <c r="S736" s="35">
        <v>44376</v>
      </c>
      <c r="T736" s="51">
        <v>44378</v>
      </c>
      <c r="U736" s="25"/>
      <c r="V736" s="25"/>
      <c r="W736" s="25">
        <v>846089775</v>
      </c>
      <c r="X736" s="26" t="s">
        <v>2799</v>
      </c>
      <c r="Y736" s="25"/>
      <c r="Z736" s="25"/>
      <c r="AA736" s="35"/>
      <c r="AB736" s="25"/>
      <c r="AC736" s="25" t="str">
        <f>TRIM(StudentScore[[#This Row],[Student Email]])</f>
        <v>thai.mek@student.mahidol.ac.th</v>
      </c>
    </row>
    <row r="737" spans="1:29" ht="27">
      <c r="A737" s="15"/>
      <c r="B737" s="33">
        <f t="shared" si="36"/>
        <v>64</v>
      </c>
      <c r="C737" s="27">
        <f t="shared" si="37"/>
        <v>2024</v>
      </c>
      <c r="D737" s="54"/>
      <c r="E737" s="19">
        <v>6488222</v>
      </c>
      <c r="F737" s="20" t="s">
        <v>38</v>
      </c>
      <c r="G737" s="20" t="s">
        <v>2800</v>
      </c>
      <c r="H737" s="32" t="s">
        <v>2801</v>
      </c>
      <c r="I737" s="25" t="s">
        <v>244</v>
      </c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>
        <v>910628336</v>
      </c>
      <c r="X737" s="26" t="s">
        <v>2802</v>
      </c>
      <c r="Y737" s="25"/>
      <c r="Z737" s="25"/>
      <c r="AA737" s="35"/>
      <c r="AB737" s="25"/>
      <c r="AC737" s="25" t="str">
        <f>TRIM(StudentScore[[#This Row],[Student Email]])</f>
        <v>wissarut.phe@student.mahidol.ac.th</v>
      </c>
    </row>
    <row r="738" spans="1:29" ht="27">
      <c r="A738" s="15"/>
      <c r="B738" s="33">
        <f t="shared" si="36"/>
        <v>64</v>
      </c>
      <c r="C738" s="27">
        <f t="shared" si="37"/>
        <v>2024</v>
      </c>
      <c r="D738" s="54"/>
      <c r="E738" s="19">
        <v>6488223</v>
      </c>
      <c r="F738" s="20" t="s">
        <v>38</v>
      </c>
      <c r="G738" s="20" t="s">
        <v>2803</v>
      </c>
      <c r="H738" s="32" t="s">
        <v>2804</v>
      </c>
      <c r="I738" s="25" t="s">
        <v>244</v>
      </c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>
        <v>989862029</v>
      </c>
      <c r="X738" s="26" t="s">
        <v>2805</v>
      </c>
      <c r="Y738" s="25"/>
      <c r="Z738" s="25"/>
      <c r="AA738" s="35"/>
      <c r="AB738" s="25"/>
      <c r="AC738" s="25" t="str">
        <f>TRIM(StudentScore[[#This Row],[Student Email]])</f>
        <v>nanthaphop.pet@student.mahidol.ac.th</v>
      </c>
    </row>
    <row r="739" spans="1:29" ht="27">
      <c r="A739" s="15"/>
      <c r="B739" s="33">
        <f t="shared" si="36"/>
        <v>64</v>
      </c>
      <c r="C739" s="27">
        <f t="shared" si="37"/>
        <v>2024</v>
      </c>
      <c r="D739" s="54"/>
      <c r="E739" s="19">
        <v>6488224</v>
      </c>
      <c r="F739" s="20" t="s">
        <v>38</v>
      </c>
      <c r="G739" s="20" t="s">
        <v>2806</v>
      </c>
      <c r="H739" s="32" t="s">
        <v>2807</v>
      </c>
      <c r="I739" s="25" t="s">
        <v>64</v>
      </c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>
        <v>945911566</v>
      </c>
      <c r="X739" s="26" t="s">
        <v>2808</v>
      </c>
      <c r="Y739" s="25"/>
      <c r="Z739" s="25"/>
      <c r="AA739" s="35"/>
      <c r="AB739" s="25"/>
      <c r="AC739" s="25" t="str">
        <f>TRIM(StudentScore[[#This Row],[Student Email]])</f>
        <v>natthakorn.tai@student.mahidol.ac.th</v>
      </c>
    </row>
    <row r="740" spans="1:29" ht="27">
      <c r="A740" s="15"/>
      <c r="B740" s="33">
        <f t="shared" si="36"/>
        <v>64</v>
      </c>
      <c r="C740" s="27">
        <f t="shared" si="37"/>
        <v>2024</v>
      </c>
      <c r="D740" s="54"/>
      <c r="E740" s="19">
        <v>6488225</v>
      </c>
      <c r="F740" s="20" t="s">
        <v>38</v>
      </c>
      <c r="G740" s="20" t="s">
        <v>2809</v>
      </c>
      <c r="H740" s="32" t="s">
        <v>2810</v>
      </c>
      <c r="I740" s="25" t="s">
        <v>64</v>
      </c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>
        <v>981016863</v>
      </c>
      <c r="X740" s="26" t="s">
        <v>2811</v>
      </c>
      <c r="Y740" s="25"/>
      <c r="Z740" s="25"/>
      <c r="AA740" s="35"/>
      <c r="AB740" s="25"/>
      <c r="AC740" s="25" t="str">
        <f>TRIM(StudentScore[[#This Row],[Student Email]])</f>
        <v>kamin.dec@student.mahidol.ac.th</v>
      </c>
    </row>
    <row r="741" spans="1:29" ht="27">
      <c r="A741" s="15"/>
      <c r="B741" s="30">
        <f t="shared" si="36"/>
        <v>64</v>
      </c>
      <c r="C741" s="27">
        <f t="shared" si="37"/>
        <v>2024</v>
      </c>
      <c r="D741" s="54"/>
      <c r="E741" s="19">
        <v>6488226</v>
      </c>
      <c r="F741" s="20" t="s">
        <v>117</v>
      </c>
      <c r="G741" s="14" t="s">
        <v>2812</v>
      </c>
      <c r="H741" s="18" t="s">
        <v>2813</v>
      </c>
      <c r="I741" s="25" t="s">
        <v>64</v>
      </c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>
        <v>818214137</v>
      </c>
      <c r="X741" s="26" t="s">
        <v>2814</v>
      </c>
      <c r="Y741" s="25"/>
      <c r="Z741" s="25"/>
      <c r="AA741" s="35"/>
      <c r="AB741" s="25"/>
      <c r="AC741" s="25" t="str">
        <f>TRIM(StudentScore[[#This Row],[Student Email]])</f>
        <v>nisakorn.nga@student.mahidol.ac.th</v>
      </c>
    </row>
    <row r="742" spans="1:29" ht="27">
      <c r="A742" s="15"/>
      <c r="B742" s="27">
        <v>65</v>
      </c>
      <c r="C742" s="27">
        <f>VALUE("25"&amp;B742)-543+3</f>
        <v>2025</v>
      </c>
      <c r="D742" s="54"/>
      <c r="E742" s="23">
        <v>6588001</v>
      </c>
      <c r="F742" s="24" t="s">
        <v>38</v>
      </c>
      <c r="G742" s="20" t="s">
        <v>2815</v>
      </c>
      <c r="H742" s="32" t="s">
        <v>2816</v>
      </c>
      <c r="I742" s="25" t="s">
        <v>41</v>
      </c>
      <c r="J742" s="25">
        <v>527</v>
      </c>
      <c r="K742" s="25">
        <v>59</v>
      </c>
      <c r="L742" s="25">
        <v>57</v>
      </c>
      <c r="M742" s="25">
        <v>42</v>
      </c>
      <c r="N742" s="25"/>
      <c r="O742" s="25"/>
      <c r="P742" s="25"/>
      <c r="Q742" s="25"/>
      <c r="R742" s="25"/>
      <c r="S742" s="60">
        <v>44712</v>
      </c>
      <c r="T742" s="26">
        <v>44774</v>
      </c>
      <c r="U742" s="25" t="s">
        <v>2261</v>
      </c>
      <c r="V742" s="25"/>
      <c r="W742" s="59" t="s">
        <v>2817</v>
      </c>
      <c r="X742" s="25" t="s">
        <v>2818</v>
      </c>
      <c r="Y742" s="25"/>
      <c r="Z742" s="25"/>
      <c r="AA742" s="40"/>
      <c r="AB742" s="40"/>
      <c r="AC742" s="25" t="str">
        <f>TRIM(StudentScore[[#This Row],[Student Email]])</f>
        <v>sorrajak.akk@student.mahidol.ac.th</v>
      </c>
    </row>
    <row r="743" spans="1:29" ht="27">
      <c r="A743" s="15"/>
      <c r="B743" s="27">
        <f t="shared" ref="B743:B774" si="38">VALUE(LEFT(E743,2))</f>
        <v>65</v>
      </c>
      <c r="C743" s="27">
        <f t="shared" ref="C743:C774" si="39">VALUE("25"&amp;B743)-543+3</f>
        <v>2025</v>
      </c>
      <c r="D743" s="54"/>
      <c r="E743" s="23">
        <v>6588003</v>
      </c>
      <c r="F743" s="24" t="s">
        <v>117</v>
      </c>
      <c r="G743" s="20" t="s">
        <v>2819</v>
      </c>
      <c r="H743" s="32" t="s">
        <v>2820</v>
      </c>
      <c r="I743" s="25" t="s">
        <v>41</v>
      </c>
      <c r="J743" s="25">
        <v>607</v>
      </c>
      <c r="K743" s="25">
        <v>66</v>
      </c>
      <c r="L743" s="25">
        <v>59</v>
      </c>
      <c r="M743" s="25">
        <v>57</v>
      </c>
      <c r="N743" s="25"/>
      <c r="O743" s="25"/>
      <c r="P743" s="25"/>
      <c r="Q743" s="25"/>
      <c r="R743" s="25"/>
      <c r="S743" s="60">
        <v>44712</v>
      </c>
      <c r="T743" s="26">
        <v>44774</v>
      </c>
      <c r="U743" s="25" t="s">
        <v>2261</v>
      </c>
      <c r="V743" s="25"/>
      <c r="W743" s="59" t="s">
        <v>2821</v>
      </c>
      <c r="X743" s="25" t="s">
        <v>2822</v>
      </c>
      <c r="Y743" s="25"/>
      <c r="Z743" s="25"/>
      <c r="AA743" s="40"/>
      <c r="AB743" s="40"/>
      <c r="AC743" s="25" t="str">
        <f>TRIM(StudentScore[[#This Row],[Student Email]])</f>
        <v>thanyalan.amo@student.mahidol.ac.th</v>
      </c>
    </row>
    <row r="744" spans="1:29" ht="27">
      <c r="A744" s="15"/>
      <c r="B744" s="27">
        <f t="shared" si="38"/>
        <v>65</v>
      </c>
      <c r="C744" s="27">
        <f t="shared" si="39"/>
        <v>2025</v>
      </c>
      <c r="D744" s="54"/>
      <c r="E744" s="19">
        <v>6588004</v>
      </c>
      <c r="F744" s="20" t="s">
        <v>38</v>
      </c>
      <c r="G744" s="20" t="s">
        <v>2823</v>
      </c>
      <c r="H744" s="32" t="s">
        <v>2824</v>
      </c>
      <c r="I744" s="25" t="s">
        <v>124</v>
      </c>
      <c r="J744" s="25">
        <v>5.5</v>
      </c>
      <c r="K744" s="25">
        <v>5</v>
      </c>
      <c r="L744" s="25">
        <v>5</v>
      </c>
      <c r="M744" s="25">
        <v>5</v>
      </c>
      <c r="N744" s="25">
        <v>6.5</v>
      </c>
      <c r="O744" s="25"/>
      <c r="P744" s="25"/>
      <c r="Q744" s="25"/>
      <c r="R744" s="25"/>
      <c r="S744" s="26">
        <v>44486</v>
      </c>
      <c r="T744" s="51">
        <v>44835</v>
      </c>
      <c r="U744" s="25"/>
      <c r="V744" s="25"/>
      <c r="W744" s="59" t="s">
        <v>2825</v>
      </c>
      <c r="X744" s="25" t="s">
        <v>2826</v>
      </c>
      <c r="Y744" s="25"/>
      <c r="Z744" s="25"/>
      <c r="AA744" s="40"/>
      <c r="AB744" s="40"/>
      <c r="AC744" s="25" t="str">
        <f>TRIM(StudentScore[[#This Row],[Student Email]])</f>
        <v>napatkrit.asa@student.mahidol.ac.th</v>
      </c>
    </row>
    <row r="745" spans="1:29" ht="27">
      <c r="A745" s="15"/>
      <c r="B745" s="27">
        <f t="shared" si="38"/>
        <v>65</v>
      </c>
      <c r="C745" s="27">
        <f t="shared" si="39"/>
        <v>2025</v>
      </c>
      <c r="D745" s="54"/>
      <c r="E745" s="19">
        <v>6588005</v>
      </c>
      <c r="F745" s="20" t="s">
        <v>117</v>
      </c>
      <c r="G745" s="20" t="s">
        <v>2827</v>
      </c>
      <c r="H745" s="32" t="s">
        <v>2828</v>
      </c>
      <c r="I745" s="25" t="s">
        <v>41</v>
      </c>
      <c r="J745" s="25">
        <v>527</v>
      </c>
      <c r="K745" s="25">
        <v>58</v>
      </c>
      <c r="L745" s="25">
        <v>56</v>
      </c>
      <c r="M745" s="25">
        <v>44</v>
      </c>
      <c r="N745" s="25"/>
      <c r="O745" s="25"/>
      <c r="P745" s="25"/>
      <c r="Q745" s="25"/>
      <c r="R745" s="25"/>
      <c r="S745" s="26">
        <v>44712</v>
      </c>
      <c r="T745" s="26">
        <v>44774</v>
      </c>
      <c r="U745" s="25" t="s">
        <v>2261</v>
      </c>
      <c r="V745" s="25"/>
      <c r="W745" s="59" t="s">
        <v>2829</v>
      </c>
      <c r="X745" s="25" t="s">
        <v>2830</v>
      </c>
      <c r="Y745" s="25"/>
      <c r="Z745" s="25"/>
      <c r="AA745" s="40"/>
      <c r="AB745" s="40"/>
      <c r="AC745" s="25" t="str">
        <f>TRIM(StudentScore[[#This Row],[Student Email]])</f>
        <v>engaugsorn.aug@student.mahidol.ac.th</v>
      </c>
    </row>
    <row r="746" spans="1:29" ht="27">
      <c r="A746" s="15"/>
      <c r="B746" s="27">
        <f t="shared" si="38"/>
        <v>65</v>
      </c>
      <c r="C746" s="27">
        <f t="shared" si="39"/>
        <v>2025</v>
      </c>
      <c r="D746" s="54"/>
      <c r="E746" s="19">
        <v>6588006</v>
      </c>
      <c r="F746" s="20" t="s">
        <v>38</v>
      </c>
      <c r="G746" s="20" t="s">
        <v>2831</v>
      </c>
      <c r="H746" s="32" t="s">
        <v>2832</v>
      </c>
      <c r="I746" s="25" t="s">
        <v>64</v>
      </c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59" t="s">
        <v>2833</v>
      </c>
      <c r="X746" s="25" t="s">
        <v>2834</v>
      </c>
      <c r="Y746" s="25"/>
      <c r="Z746" s="25"/>
      <c r="AA746" s="40"/>
      <c r="AB746" s="40"/>
      <c r="AC746" s="25" t="str">
        <f>TRIM(StudentScore[[#This Row],[Student Email]])</f>
        <v>pornpinit.aup@student.mahidol.ac.th</v>
      </c>
    </row>
    <row r="747" spans="1:29" ht="27">
      <c r="A747" s="15"/>
      <c r="B747" s="27">
        <f t="shared" si="38"/>
        <v>65</v>
      </c>
      <c r="C747" s="27">
        <f t="shared" si="39"/>
        <v>2025</v>
      </c>
      <c r="D747" s="54"/>
      <c r="E747" s="19">
        <v>6588007</v>
      </c>
      <c r="F747" s="20" t="s">
        <v>117</v>
      </c>
      <c r="G747" s="20" t="s">
        <v>2835</v>
      </c>
      <c r="H747" s="32" t="s">
        <v>2836</v>
      </c>
      <c r="I747" s="25" t="s">
        <v>64</v>
      </c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59" t="s">
        <v>2837</v>
      </c>
      <c r="X747" s="25" t="s">
        <v>2838</v>
      </c>
      <c r="Y747" s="25"/>
      <c r="Z747" s="25"/>
      <c r="AA747" s="40"/>
      <c r="AB747" s="40"/>
      <c r="AC747" s="25" t="str">
        <f>TRIM(StudentScore[[#This Row],[Student Email]])</f>
        <v>phenpitchaya.boo@student.mahidol.ac.th</v>
      </c>
    </row>
    <row r="748" spans="1:29" ht="27">
      <c r="A748" s="15"/>
      <c r="B748" s="27">
        <f t="shared" si="38"/>
        <v>65</v>
      </c>
      <c r="C748" s="27">
        <f t="shared" si="39"/>
        <v>2025</v>
      </c>
      <c r="D748" s="54"/>
      <c r="E748" s="19">
        <v>6588008</v>
      </c>
      <c r="F748" s="20" t="s">
        <v>38</v>
      </c>
      <c r="G748" s="20" t="s">
        <v>2839</v>
      </c>
      <c r="H748" s="32" t="s">
        <v>2840</v>
      </c>
      <c r="I748" s="25" t="s">
        <v>41</v>
      </c>
      <c r="J748" s="25">
        <v>613</v>
      </c>
      <c r="K748" s="25">
        <v>61</v>
      </c>
      <c r="L748" s="25">
        <v>60</v>
      </c>
      <c r="M748" s="25">
        <v>63</v>
      </c>
      <c r="N748" s="25"/>
      <c r="O748" s="25"/>
      <c r="P748" s="25"/>
      <c r="Q748" s="25"/>
      <c r="R748" s="25"/>
      <c r="S748" s="26">
        <v>44712</v>
      </c>
      <c r="T748" s="26">
        <v>44774</v>
      </c>
      <c r="U748" s="25" t="s">
        <v>2261</v>
      </c>
      <c r="V748" s="25"/>
      <c r="W748" s="59" t="s">
        <v>2841</v>
      </c>
      <c r="X748" s="25" t="s">
        <v>2842</v>
      </c>
      <c r="Y748" s="25"/>
      <c r="Z748" s="25"/>
      <c r="AA748" s="40"/>
      <c r="AB748" s="40"/>
      <c r="AC748" s="25" t="str">
        <f>TRIM(StudentScore[[#This Row],[Student Email]])</f>
        <v>jakguy.bor@student.mahidol.ac.th</v>
      </c>
    </row>
    <row r="749" spans="1:29" ht="27">
      <c r="A749" s="15"/>
      <c r="B749" s="27">
        <f t="shared" si="38"/>
        <v>65</v>
      </c>
      <c r="C749" s="27">
        <f t="shared" si="39"/>
        <v>2025</v>
      </c>
      <c r="D749" s="54"/>
      <c r="E749" s="19">
        <v>6588009</v>
      </c>
      <c r="F749" s="20" t="s">
        <v>38</v>
      </c>
      <c r="G749" s="20" t="s">
        <v>2843</v>
      </c>
      <c r="H749" s="32" t="s">
        <v>2844</v>
      </c>
      <c r="I749" s="25" t="s">
        <v>41</v>
      </c>
      <c r="J749" s="25">
        <v>530</v>
      </c>
      <c r="K749" s="25">
        <v>57</v>
      </c>
      <c r="L749" s="25">
        <v>53</v>
      </c>
      <c r="M749" s="25">
        <v>49</v>
      </c>
      <c r="N749" s="25"/>
      <c r="O749" s="25"/>
      <c r="P749" s="25"/>
      <c r="Q749" s="25"/>
      <c r="R749" s="25"/>
      <c r="S749" s="26">
        <v>44712</v>
      </c>
      <c r="T749" s="26">
        <v>44774</v>
      </c>
      <c r="U749" s="25" t="s">
        <v>2261</v>
      </c>
      <c r="V749" s="25"/>
      <c r="W749" s="59" t="s">
        <v>2845</v>
      </c>
      <c r="X749" s="25" t="s">
        <v>2846</v>
      </c>
      <c r="Y749" s="25"/>
      <c r="Z749" s="25"/>
      <c r="AA749" s="40"/>
      <c r="AB749" s="40"/>
      <c r="AC749" s="25" t="str">
        <f>TRIM(StudentScore[[#This Row],[Student Email]])</f>
        <v>kongpum.bun@student.mahidol.ac.th</v>
      </c>
    </row>
    <row r="750" spans="1:29" ht="27">
      <c r="A750" s="15"/>
      <c r="B750" s="27">
        <f t="shared" si="38"/>
        <v>65</v>
      </c>
      <c r="C750" s="27">
        <f t="shared" si="39"/>
        <v>2025</v>
      </c>
      <c r="D750" s="54"/>
      <c r="E750" s="19">
        <v>6588010</v>
      </c>
      <c r="F750" s="20" t="s">
        <v>38</v>
      </c>
      <c r="G750" s="20" t="s">
        <v>2847</v>
      </c>
      <c r="H750" s="32" t="s">
        <v>2848</v>
      </c>
      <c r="I750" s="25" t="s">
        <v>64</v>
      </c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59" t="s">
        <v>2849</v>
      </c>
      <c r="X750" s="25" t="s">
        <v>2850</v>
      </c>
      <c r="Y750" s="25"/>
      <c r="Z750" s="25"/>
      <c r="AA750" s="40"/>
      <c r="AB750" s="40"/>
      <c r="AC750" s="25" t="str">
        <f>TRIM(StudentScore[[#This Row],[Student Email]])</f>
        <v>jarukit.bun@student.mahidol.ac.th</v>
      </c>
    </row>
    <row r="751" spans="1:29" ht="27">
      <c r="A751" s="15"/>
      <c r="B751" s="27">
        <f t="shared" si="38"/>
        <v>65</v>
      </c>
      <c r="C751" s="27">
        <f t="shared" si="39"/>
        <v>2025</v>
      </c>
      <c r="D751" s="54"/>
      <c r="E751" s="19">
        <v>6588011</v>
      </c>
      <c r="F751" s="20" t="s">
        <v>38</v>
      </c>
      <c r="G751" s="20" t="s">
        <v>2851</v>
      </c>
      <c r="H751" s="32" t="s">
        <v>2852</v>
      </c>
      <c r="I751" s="25" t="s">
        <v>64</v>
      </c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59" t="s">
        <v>2853</v>
      </c>
      <c r="X751" s="25" t="s">
        <v>2854</v>
      </c>
      <c r="Y751" s="25"/>
      <c r="Z751" s="25"/>
      <c r="AA751" s="40"/>
      <c r="AB751" s="40"/>
      <c r="AC751" s="25" t="str">
        <f>TRIM(StudentScore[[#This Row],[Student Email]])</f>
        <v>terat.bur@student.mahidol.ac.th</v>
      </c>
    </row>
    <row r="752" spans="1:29" ht="27">
      <c r="A752" s="15"/>
      <c r="B752" s="27">
        <f t="shared" si="38"/>
        <v>65</v>
      </c>
      <c r="C752" s="27">
        <f t="shared" si="39"/>
        <v>2025</v>
      </c>
      <c r="D752" s="54"/>
      <c r="E752" s="19">
        <v>6588012</v>
      </c>
      <c r="F752" s="20" t="s">
        <v>38</v>
      </c>
      <c r="G752" s="20" t="s">
        <v>2855</v>
      </c>
      <c r="H752" s="32" t="s">
        <v>2856</v>
      </c>
      <c r="I752" s="25" t="s">
        <v>64</v>
      </c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59" t="s">
        <v>2857</v>
      </c>
      <c r="X752" s="25" t="s">
        <v>2858</v>
      </c>
      <c r="Y752" s="25"/>
      <c r="Z752" s="25"/>
      <c r="AA752" s="40"/>
      <c r="AB752" s="40"/>
      <c r="AC752" s="25" t="str">
        <f>TRIM(StudentScore[[#This Row],[Student Email]])</f>
        <v>patsathorn.cha@student.mahidol.ac.th</v>
      </c>
    </row>
    <row r="753" spans="1:29" ht="27">
      <c r="A753" s="15"/>
      <c r="B753" s="27">
        <f t="shared" si="38"/>
        <v>65</v>
      </c>
      <c r="C753" s="27">
        <f t="shared" si="39"/>
        <v>2025</v>
      </c>
      <c r="D753" s="54"/>
      <c r="E753" s="19">
        <v>6588013</v>
      </c>
      <c r="F753" s="20" t="s">
        <v>117</v>
      </c>
      <c r="G753" s="20" t="s">
        <v>2859</v>
      </c>
      <c r="H753" s="32" t="s">
        <v>2860</v>
      </c>
      <c r="I753" s="25" t="s">
        <v>64</v>
      </c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59" t="s">
        <v>2861</v>
      </c>
      <c r="X753" s="25" t="s">
        <v>2862</v>
      </c>
      <c r="Y753" s="25"/>
      <c r="Z753" s="25"/>
      <c r="AA753" s="40"/>
      <c r="AB753" s="40"/>
      <c r="AC753" s="25" t="str">
        <f>TRIM(StudentScore[[#This Row],[Student Email]])</f>
        <v>praewa.chn@student.mahidol.ac.th</v>
      </c>
    </row>
    <row r="754" spans="1:29" ht="27">
      <c r="A754" s="15"/>
      <c r="B754" s="27">
        <f t="shared" si="38"/>
        <v>65</v>
      </c>
      <c r="C754" s="27">
        <f t="shared" si="39"/>
        <v>2025</v>
      </c>
      <c r="D754" s="54"/>
      <c r="E754" s="19">
        <v>6588014</v>
      </c>
      <c r="F754" s="20" t="s">
        <v>38</v>
      </c>
      <c r="G754" s="20" t="s">
        <v>2863</v>
      </c>
      <c r="H754" s="32" t="s">
        <v>2864</v>
      </c>
      <c r="I754" s="25" t="s">
        <v>64</v>
      </c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59" t="s">
        <v>2865</v>
      </c>
      <c r="X754" s="25" t="s">
        <v>2866</v>
      </c>
      <c r="Y754" s="25"/>
      <c r="Z754" s="25"/>
      <c r="AA754" s="40"/>
      <c r="AB754" s="40"/>
      <c r="AC754" s="25" t="str">
        <f>TRIM(StudentScore[[#This Row],[Student Email]])</f>
        <v>phubhadin.cha@student.mahidol.ac.th</v>
      </c>
    </row>
    <row r="755" spans="1:29" ht="27">
      <c r="A755" s="15"/>
      <c r="B755" s="27">
        <f t="shared" si="38"/>
        <v>65</v>
      </c>
      <c r="C755" s="27">
        <f t="shared" si="39"/>
        <v>2025</v>
      </c>
      <c r="D755" s="54"/>
      <c r="E755" s="19">
        <v>6588015</v>
      </c>
      <c r="F755" s="20" t="s">
        <v>38</v>
      </c>
      <c r="G755" s="20" t="s">
        <v>2867</v>
      </c>
      <c r="H755" s="32" t="s">
        <v>2868</v>
      </c>
      <c r="I755" s="25" t="s">
        <v>41</v>
      </c>
      <c r="J755" s="25">
        <v>527</v>
      </c>
      <c r="K755" s="25">
        <v>53</v>
      </c>
      <c r="L755" s="25">
        <v>57</v>
      </c>
      <c r="M755" s="25">
        <v>48</v>
      </c>
      <c r="N755" s="25"/>
      <c r="O755" s="25"/>
      <c r="P755" s="25"/>
      <c r="Q755" s="25"/>
      <c r="R755" s="25"/>
      <c r="S755" s="26">
        <v>44712</v>
      </c>
      <c r="T755" s="26">
        <v>44774</v>
      </c>
      <c r="U755" s="25" t="s">
        <v>2261</v>
      </c>
      <c r="V755" s="25"/>
      <c r="W755" s="59" t="s">
        <v>2869</v>
      </c>
      <c r="X755" s="25" t="s">
        <v>2870</v>
      </c>
      <c r="Y755" s="25"/>
      <c r="Z755" s="25"/>
      <c r="AA755" s="40"/>
      <c r="AB755" s="40"/>
      <c r="AC755" s="25" t="str">
        <f>TRIM(StudentScore[[#This Row],[Student Email]])</f>
        <v>kamonnop.cha@student.mahidol.ac.th</v>
      </c>
    </row>
    <row r="756" spans="1:29" ht="27">
      <c r="A756" s="15"/>
      <c r="B756" s="27">
        <f t="shared" si="38"/>
        <v>65</v>
      </c>
      <c r="C756" s="27">
        <f t="shared" si="39"/>
        <v>2025</v>
      </c>
      <c r="D756" s="54"/>
      <c r="E756" s="19">
        <v>6588016</v>
      </c>
      <c r="F756" s="20" t="s">
        <v>38</v>
      </c>
      <c r="G756" s="20" t="s">
        <v>2871</v>
      </c>
      <c r="H756" s="32" t="s">
        <v>2872</v>
      </c>
      <c r="I756" s="25" t="s">
        <v>64</v>
      </c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59" t="s">
        <v>2873</v>
      </c>
      <c r="X756" s="25" t="s">
        <v>2874</v>
      </c>
      <c r="Y756" s="25"/>
      <c r="Z756" s="25"/>
      <c r="AA756" s="40"/>
      <c r="AB756" s="40"/>
      <c r="AC756" s="25" t="str">
        <f>TRIM(StudentScore[[#This Row],[Student Email]])</f>
        <v>apisit.che@student.mahidol.ac.th</v>
      </c>
    </row>
    <row r="757" spans="1:29" ht="27">
      <c r="A757" s="15"/>
      <c r="B757" s="27">
        <f t="shared" si="38"/>
        <v>65</v>
      </c>
      <c r="C757" s="27">
        <f t="shared" si="39"/>
        <v>2025</v>
      </c>
      <c r="D757" s="54"/>
      <c r="E757" s="19">
        <v>6588017</v>
      </c>
      <c r="F757" s="20" t="s">
        <v>117</v>
      </c>
      <c r="G757" s="20" t="s">
        <v>2875</v>
      </c>
      <c r="H757" s="32" t="s">
        <v>2876</v>
      </c>
      <c r="I757" s="25" t="s">
        <v>64</v>
      </c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59" t="s">
        <v>2877</v>
      </c>
      <c r="X757" s="25" t="s">
        <v>2878</v>
      </c>
      <c r="Y757" s="25"/>
      <c r="Z757" s="25"/>
      <c r="AA757" s="40"/>
      <c r="AB757" s="40"/>
      <c r="AC757" s="25" t="str">
        <f>TRIM(StudentScore[[#This Row],[Student Email]])</f>
        <v>seangpin.che@student.mahidol.ac.th</v>
      </c>
    </row>
    <row r="758" spans="1:29" ht="27">
      <c r="A758" s="15"/>
      <c r="B758" s="27">
        <f t="shared" si="38"/>
        <v>65</v>
      </c>
      <c r="C758" s="27">
        <f t="shared" si="39"/>
        <v>2025</v>
      </c>
      <c r="D758" s="54"/>
      <c r="E758" s="19">
        <v>6588018</v>
      </c>
      <c r="F758" s="20" t="s">
        <v>38</v>
      </c>
      <c r="G758" s="20" t="s">
        <v>2879</v>
      </c>
      <c r="H758" s="32" t="s">
        <v>2880</v>
      </c>
      <c r="I758" s="25" t="s">
        <v>64</v>
      </c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59" t="s">
        <v>2881</v>
      </c>
      <c r="X758" s="25" t="s">
        <v>2882</v>
      </c>
      <c r="Y758" s="25"/>
      <c r="Z758" s="25"/>
      <c r="AA758" s="40"/>
      <c r="AB758" s="40"/>
      <c r="AC758" s="25" t="str">
        <f>TRIM(StudentScore[[#This Row],[Student Email]])</f>
        <v>kritin.chi@student.mahidol.ac.th</v>
      </c>
    </row>
    <row r="759" spans="1:29" ht="27">
      <c r="A759" s="15"/>
      <c r="B759" s="27">
        <f t="shared" si="38"/>
        <v>65</v>
      </c>
      <c r="C759" s="27">
        <f t="shared" si="39"/>
        <v>2025</v>
      </c>
      <c r="D759" s="54"/>
      <c r="E759" s="19">
        <v>6588019</v>
      </c>
      <c r="F759" s="20" t="s">
        <v>38</v>
      </c>
      <c r="G759" s="20" t="s">
        <v>2883</v>
      </c>
      <c r="H759" s="32" t="s">
        <v>2884</v>
      </c>
      <c r="I759" s="25" t="s">
        <v>64</v>
      </c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59" t="s">
        <v>2885</v>
      </c>
      <c r="X759" s="25" t="s">
        <v>2886</v>
      </c>
      <c r="Y759" s="25"/>
      <c r="Z759" s="25"/>
      <c r="AA759" s="40"/>
      <c r="AB759" s="40"/>
      <c r="AC759" s="25" t="str">
        <f>TRIM(StudentScore[[#This Row],[Student Email]])</f>
        <v>tanakrit.cho@student.mahidol.ac.th</v>
      </c>
    </row>
    <row r="760" spans="1:29" ht="27">
      <c r="A760" s="15"/>
      <c r="B760" s="27">
        <f t="shared" si="38"/>
        <v>65</v>
      </c>
      <c r="C760" s="27">
        <f t="shared" si="39"/>
        <v>2025</v>
      </c>
      <c r="D760" s="54"/>
      <c r="E760" s="19">
        <v>6588020</v>
      </c>
      <c r="F760" s="20" t="s">
        <v>117</v>
      </c>
      <c r="G760" s="20" t="s">
        <v>2887</v>
      </c>
      <c r="H760" s="32" t="s">
        <v>2888</v>
      </c>
      <c r="I760" s="25" t="s">
        <v>64</v>
      </c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59" t="s">
        <v>2889</v>
      </c>
      <c r="X760" s="25" t="s">
        <v>2890</v>
      </c>
      <c r="Y760" s="25"/>
      <c r="Z760" s="25"/>
      <c r="AA760" s="40"/>
      <c r="AB760" s="40"/>
      <c r="AC760" s="25" t="str">
        <f>TRIM(StudentScore[[#This Row],[Student Email]])</f>
        <v>pakaporn.cho@student.mahidol.ac.th</v>
      </c>
    </row>
    <row r="761" spans="1:29" ht="27">
      <c r="A761" s="15"/>
      <c r="B761" s="27">
        <f t="shared" si="38"/>
        <v>65</v>
      </c>
      <c r="C761" s="27">
        <f t="shared" si="39"/>
        <v>2025</v>
      </c>
      <c r="D761" s="54"/>
      <c r="E761" s="19">
        <v>6588021</v>
      </c>
      <c r="F761" s="20" t="s">
        <v>38</v>
      </c>
      <c r="G761" s="20" t="s">
        <v>2891</v>
      </c>
      <c r="H761" s="32" t="s">
        <v>2892</v>
      </c>
      <c r="I761" s="25" t="s">
        <v>214</v>
      </c>
      <c r="J761" s="25">
        <v>90</v>
      </c>
      <c r="K761" s="25"/>
      <c r="L761" s="25"/>
      <c r="M761" s="25"/>
      <c r="N761" s="25"/>
      <c r="O761" s="25">
        <v>85</v>
      </c>
      <c r="P761" s="25">
        <v>75</v>
      </c>
      <c r="Q761" s="25">
        <v>100</v>
      </c>
      <c r="R761" s="25">
        <v>55</v>
      </c>
      <c r="S761" s="26">
        <v>44898</v>
      </c>
      <c r="T761" s="35">
        <v>44901</v>
      </c>
      <c r="U761" s="25"/>
      <c r="V761" s="25"/>
      <c r="W761" s="59" t="s">
        <v>2893</v>
      </c>
      <c r="X761" s="25" t="s">
        <v>2894</v>
      </c>
      <c r="Y761" s="42">
        <v>44901.486701388887</v>
      </c>
      <c r="Z761" s="25" t="s">
        <v>2895</v>
      </c>
      <c r="AA761" s="40"/>
      <c r="AB761" s="40"/>
      <c r="AC761" s="25" t="str">
        <f>TRIM(StudentScore[[#This Row],[Student Email]])</f>
        <v>tanadhon.dum@student.mahidol.ac.th</v>
      </c>
    </row>
    <row r="762" spans="1:29" ht="27">
      <c r="A762" s="15"/>
      <c r="B762" s="27">
        <f t="shared" si="38"/>
        <v>65</v>
      </c>
      <c r="C762" s="27">
        <f t="shared" si="39"/>
        <v>2025</v>
      </c>
      <c r="D762" s="54"/>
      <c r="E762" s="19">
        <v>6588022</v>
      </c>
      <c r="F762" s="20" t="s">
        <v>117</v>
      </c>
      <c r="G762" s="20" t="s">
        <v>2896</v>
      </c>
      <c r="H762" s="32" t="s">
        <v>2897</v>
      </c>
      <c r="I762" s="25" t="s">
        <v>53</v>
      </c>
      <c r="J762" s="25">
        <v>90</v>
      </c>
      <c r="K762" s="25">
        <v>45</v>
      </c>
      <c r="L762" s="25">
        <v>45</v>
      </c>
      <c r="M762" s="25"/>
      <c r="N762" s="25"/>
      <c r="O762" s="25"/>
      <c r="P762" s="25"/>
      <c r="Q762" s="25"/>
      <c r="R762" s="25"/>
      <c r="S762" s="26">
        <v>44749</v>
      </c>
      <c r="T762" s="51">
        <v>44835</v>
      </c>
      <c r="U762" s="25"/>
      <c r="V762" s="25"/>
      <c r="W762" s="59" t="s">
        <v>2898</v>
      </c>
      <c r="X762" s="25" t="s">
        <v>2899</v>
      </c>
      <c r="Y762" s="25"/>
      <c r="Z762" s="25"/>
      <c r="AA762" s="40"/>
      <c r="AB762" s="40"/>
      <c r="AC762" s="25" t="str">
        <f>TRIM(StudentScore[[#This Row],[Student Email]])</f>
        <v>sakhunich.iam@student.mahidol.ac.th</v>
      </c>
    </row>
    <row r="763" spans="1:29" ht="27">
      <c r="A763" s="15"/>
      <c r="B763" s="27">
        <f t="shared" si="38"/>
        <v>65</v>
      </c>
      <c r="C763" s="27">
        <f t="shared" si="39"/>
        <v>2025</v>
      </c>
      <c r="D763" s="54"/>
      <c r="E763" s="19">
        <v>6588023</v>
      </c>
      <c r="F763" s="20" t="s">
        <v>38</v>
      </c>
      <c r="G763" s="20" t="s">
        <v>2900</v>
      </c>
      <c r="H763" s="32" t="s">
        <v>2901</v>
      </c>
      <c r="I763" s="25" t="s">
        <v>53</v>
      </c>
      <c r="J763" s="25" t="s">
        <v>2902</v>
      </c>
      <c r="K763" s="25" t="s">
        <v>2903</v>
      </c>
      <c r="L763" s="25" t="s">
        <v>2904</v>
      </c>
      <c r="M763" s="25"/>
      <c r="N763" s="25"/>
      <c r="O763" s="25"/>
      <c r="P763" s="25"/>
      <c r="Q763" s="25"/>
      <c r="R763" s="25"/>
      <c r="S763" s="35">
        <v>44730</v>
      </c>
      <c r="T763" s="51">
        <v>44835</v>
      </c>
      <c r="U763" s="25"/>
      <c r="V763" s="25"/>
      <c r="W763" s="59" t="s">
        <v>2905</v>
      </c>
      <c r="X763" s="25" t="s">
        <v>2906</v>
      </c>
      <c r="Y763" s="25"/>
      <c r="Z763" s="25"/>
      <c r="AA763" s="40"/>
      <c r="AB763" s="40"/>
      <c r="AC763" s="25" t="str">
        <f>TRIM(StudentScore[[#This Row],[Student Email]])</f>
        <v>shalom.inc@student.mahidol.ac.th</v>
      </c>
    </row>
    <row r="764" spans="1:29" ht="27">
      <c r="A764" s="15"/>
      <c r="B764" s="27">
        <f t="shared" si="38"/>
        <v>65</v>
      </c>
      <c r="C764" s="27">
        <f t="shared" si="39"/>
        <v>2025</v>
      </c>
      <c r="D764" s="54"/>
      <c r="E764" s="19">
        <v>6588025</v>
      </c>
      <c r="F764" s="20" t="s">
        <v>38</v>
      </c>
      <c r="G764" s="20" t="s">
        <v>2907</v>
      </c>
      <c r="H764" s="32" t="s">
        <v>2908</v>
      </c>
      <c r="I764" s="25" t="s">
        <v>64</v>
      </c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59" t="s">
        <v>2909</v>
      </c>
      <c r="X764" s="25" t="s">
        <v>2910</v>
      </c>
      <c r="Y764" s="25"/>
      <c r="Z764" s="25"/>
      <c r="AA764" s="40"/>
      <c r="AB764" s="40"/>
      <c r="AC764" s="25" t="str">
        <f>TRIM(StudentScore[[#This Row],[Student Email]])</f>
        <v>kaninpat.jan@student.mahidol.ac.th</v>
      </c>
    </row>
    <row r="765" spans="1:29" ht="27">
      <c r="A765" s="15"/>
      <c r="B765" s="27">
        <f t="shared" si="38"/>
        <v>65</v>
      </c>
      <c r="C765" s="27">
        <f t="shared" si="39"/>
        <v>2025</v>
      </c>
      <c r="D765" s="54"/>
      <c r="E765" s="19">
        <v>6588026</v>
      </c>
      <c r="F765" s="20" t="s">
        <v>117</v>
      </c>
      <c r="G765" s="20" t="s">
        <v>2911</v>
      </c>
      <c r="H765" s="32" t="s">
        <v>2912</v>
      </c>
      <c r="I765" s="25" t="s">
        <v>53</v>
      </c>
      <c r="J765" s="25">
        <v>106</v>
      </c>
      <c r="K765" s="25">
        <v>54</v>
      </c>
      <c r="L765" s="25">
        <v>52</v>
      </c>
      <c r="M765" s="25"/>
      <c r="N765" s="25"/>
      <c r="O765" s="25"/>
      <c r="P765" s="25"/>
      <c r="Q765" s="25"/>
      <c r="R765" s="25"/>
      <c r="S765" s="26">
        <v>44749</v>
      </c>
      <c r="T765" s="25"/>
      <c r="U765" s="25"/>
      <c r="V765" s="25"/>
      <c r="W765" s="59" t="s">
        <v>2913</v>
      </c>
      <c r="X765" s="25" t="s">
        <v>2914</v>
      </c>
      <c r="Y765" s="42">
        <v>44784.677268518521</v>
      </c>
      <c r="Z765" s="25" t="s">
        <v>2915</v>
      </c>
      <c r="AA765" s="40"/>
      <c r="AB765" s="40"/>
      <c r="AC765" s="25" t="str">
        <f>TRIM(StudentScore[[#This Row],[Student Email]])</f>
        <v>yada.jar@student.mahidol.ac.th</v>
      </c>
    </row>
    <row r="766" spans="1:29" ht="27">
      <c r="A766" s="15"/>
      <c r="B766" s="27">
        <f t="shared" si="38"/>
        <v>65</v>
      </c>
      <c r="C766" s="27">
        <f t="shared" si="39"/>
        <v>2025</v>
      </c>
      <c r="D766" s="54"/>
      <c r="E766" s="19">
        <v>6588027</v>
      </c>
      <c r="F766" s="20" t="s">
        <v>117</v>
      </c>
      <c r="G766" s="20" t="s">
        <v>2916</v>
      </c>
      <c r="H766" s="32" t="s">
        <v>2917</v>
      </c>
      <c r="I766" s="25" t="s">
        <v>124</v>
      </c>
      <c r="J766" s="25">
        <v>6</v>
      </c>
      <c r="K766" s="25">
        <v>6.5</v>
      </c>
      <c r="L766" s="25">
        <v>6</v>
      </c>
      <c r="M766" s="25">
        <v>5.5</v>
      </c>
      <c r="N766" s="25">
        <v>5.5</v>
      </c>
      <c r="O766" s="25"/>
      <c r="P766" s="25"/>
      <c r="Q766" s="25"/>
      <c r="R766" s="25"/>
      <c r="S766" s="35">
        <v>44373</v>
      </c>
      <c r="T766" s="51">
        <v>44805</v>
      </c>
      <c r="U766" s="25"/>
      <c r="V766" s="25"/>
      <c r="W766" s="59" t="s">
        <v>2918</v>
      </c>
      <c r="X766" s="25" t="s">
        <v>2919</v>
      </c>
      <c r="Y766" s="25"/>
      <c r="Z766" s="25"/>
      <c r="AA766" s="40"/>
      <c r="AB766" s="40"/>
      <c r="AC766" s="25" t="str">
        <f>TRIM(StudentScore[[#This Row],[Student Email]])</f>
        <v>pichsinee.jar@student.mahidol.ac.th</v>
      </c>
    </row>
    <row r="767" spans="1:29" ht="27">
      <c r="A767" s="15"/>
      <c r="B767" s="27">
        <f t="shared" si="38"/>
        <v>65</v>
      </c>
      <c r="C767" s="27">
        <f t="shared" si="39"/>
        <v>2025</v>
      </c>
      <c r="D767" s="54"/>
      <c r="E767" s="19">
        <v>6588028</v>
      </c>
      <c r="F767" s="20" t="s">
        <v>117</v>
      </c>
      <c r="G767" s="20" t="s">
        <v>2920</v>
      </c>
      <c r="H767" s="32" t="s">
        <v>2921</v>
      </c>
      <c r="I767" s="25" t="s">
        <v>41</v>
      </c>
      <c r="J767" s="25">
        <v>543</v>
      </c>
      <c r="K767" s="25">
        <v>56</v>
      </c>
      <c r="L767" s="25">
        <v>57</v>
      </c>
      <c r="M767" s="25">
        <v>50</v>
      </c>
      <c r="N767" s="25"/>
      <c r="O767" s="25"/>
      <c r="P767" s="25"/>
      <c r="Q767" s="25"/>
      <c r="R767" s="25"/>
      <c r="S767" s="26">
        <v>44712</v>
      </c>
      <c r="T767" s="26">
        <v>44774</v>
      </c>
      <c r="U767" s="25" t="s">
        <v>2261</v>
      </c>
      <c r="V767" s="25"/>
      <c r="W767" s="59" t="s">
        <v>2922</v>
      </c>
      <c r="X767" s="25" t="s">
        <v>2923</v>
      </c>
      <c r="Y767" s="25"/>
      <c r="Z767" s="25"/>
      <c r="AA767" s="40"/>
      <c r="AB767" s="40"/>
      <c r="AC767" s="25" t="str">
        <f>TRIM(StudentScore[[#This Row],[Student Email]])</f>
        <v>jinjutha.jin@student.mahidol.ac.th</v>
      </c>
    </row>
    <row r="768" spans="1:29" ht="27">
      <c r="A768" s="15"/>
      <c r="B768" s="27">
        <f t="shared" si="38"/>
        <v>65</v>
      </c>
      <c r="C768" s="27">
        <f t="shared" si="39"/>
        <v>2025</v>
      </c>
      <c r="D768" s="54"/>
      <c r="E768" s="19">
        <v>6588029</v>
      </c>
      <c r="F768" s="20" t="s">
        <v>38</v>
      </c>
      <c r="G768" s="20" t="s">
        <v>2924</v>
      </c>
      <c r="H768" s="32" t="s">
        <v>2925</v>
      </c>
      <c r="I768" s="25" t="s">
        <v>64</v>
      </c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59" t="s">
        <v>2926</v>
      </c>
      <c r="X768" s="25" t="s">
        <v>2927</v>
      </c>
      <c r="Y768" s="25"/>
      <c r="Z768" s="25"/>
      <c r="AA768" s="40"/>
      <c r="AB768" s="40"/>
      <c r="AC768" s="25" t="str">
        <f>TRIM(StudentScore[[#This Row],[Student Email]])</f>
        <v>pathompum.jir@student.mahidol.ac.th</v>
      </c>
    </row>
    <row r="769" spans="1:29" ht="27">
      <c r="A769" s="15"/>
      <c r="B769" s="27">
        <f t="shared" si="38"/>
        <v>65</v>
      </c>
      <c r="C769" s="27">
        <f t="shared" si="39"/>
        <v>2025</v>
      </c>
      <c r="D769" s="54"/>
      <c r="E769" s="19">
        <v>6588030</v>
      </c>
      <c r="F769" s="20" t="s">
        <v>38</v>
      </c>
      <c r="G769" s="20" t="s">
        <v>447</v>
      </c>
      <c r="H769" s="32" t="s">
        <v>2928</v>
      </c>
      <c r="I769" s="25" t="s">
        <v>64</v>
      </c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59" t="s">
        <v>2929</v>
      </c>
      <c r="X769" s="25" t="s">
        <v>2930</v>
      </c>
      <c r="Y769" s="25"/>
      <c r="Z769" s="25"/>
      <c r="AA769" s="40"/>
      <c r="AB769" s="40"/>
      <c r="AC769" s="25" t="str">
        <f>TRIM(StudentScore[[#This Row],[Student Email]])</f>
        <v>napat.jir@student.mahidol.ac.th</v>
      </c>
    </row>
    <row r="770" spans="1:29" ht="27">
      <c r="A770" s="15"/>
      <c r="B770" s="27">
        <f t="shared" si="38"/>
        <v>65</v>
      </c>
      <c r="C770" s="27">
        <f t="shared" si="39"/>
        <v>2025</v>
      </c>
      <c r="D770" s="54"/>
      <c r="E770" s="19">
        <v>6588031</v>
      </c>
      <c r="F770" s="20" t="s">
        <v>117</v>
      </c>
      <c r="G770" s="20" t="s">
        <v>2931</v>
      </c>
      <c r="H770" s="32" t="s">
        <v>2932</v>
      </c>
      <c r="I770" s="25" t="s">
        <v>64</v>
      </c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59" t="s">
        <v>2933</v>
      </c>
      <c r="X770" s="25" t="s">
        <v>2934</v>
      </c>
      <c r="Y770" s="25"/>
      <c r="Z770" s="25"/>
      <c r="AA770" s="40"/>
      <c r="AB770" s="40"/>
      <c r="AC770" s="25" t="str">
        <f>TRIM(StudentScore[[#This Row],[Student Email]])</f>
        <v>panussaya.jit@student.mahidol.ac.th</v>
      </c>
    </row>
    <row r="771" spans="1:29" ht="27">
      <c r="A771" s="15"/>
      <c r="B771" s="27">
        <f t="shared" si="38"/>
        <v>65</v>
      </c>
      <c r="C771" s="27">
        <f t="shared" si="39"/>
        <v>2025</v>
      </c>
      <c r="D771" s="54"/>
      <c r="E771" s="19">
        <v>6588032</v>
      </c>
      <c r="F771" s="20" t="s">
        <v>38</v>
      </c>
      <c r="G771" s="20" t="s">
        <v>2935</v>
      </c>
      <c r="H771" s="32" t="s">
        <v>2936</v>
      </c>
      <c r="I771" s="25" t="s">
        <v>41</v>
      </c>
      <c r="J771" s="25">
        <v>533</v>
      </c>
      <c r="K771" s="25">
        <v>58</v>
      </c>
      <c r="L771" s="25">
        <v>56</v>
      </c>
      <c r="M771" s="25">
        <v>46</v>
      </c>
      <c r="N771" s="25"/>
      <c r="O771" s="25"/>
      <c r="P771" s="25"/>
      <c r="Q771" s="25"/>
      <c r="R771" s="25"/>
      <c r="S771" s="26">
        <v>44712</v>
      </c>
      <c r="T771" s="26">
        <v>44774</v>
      </c>
      <c r="U771" s="25" t="s">
        <v>2261</v>
      </c>
      <c r="V771" s="25"/>
      <c r="W771" s="59" t="s">
        <v>2937</v>
      </c>
      <c r="X771" s="25" t="s">
        <v>2938</v>
      </c>
      <c r="Y771" s="25"/>
      <c r="Z771" s="25"/>
      <c r="AA771" s="40"/>
      <c r="AB771" s="40"/>
      <c r="AC771" s="25" t="str">
        <f>TRIM(StudentScore[[#This Row],[Student Email]])</f>
        <v>phudis.jit@student.mahidol.ac.th</v>
      </c>
    </row>
    <row r="772" spans="1:29" ht="27">
      <c r="A772" s="15"/>
      <c r="B772" s="27">
        <f t="shared" si="38"/>
        <v>65</v>
      </c>
      <c r="C772" s="27">
        <f t="shared" si="39"/>
        <v>2025</v>
      </c>
      <c r="D772" s="54"/>
      <c r="E772" s="19">
        <v>6588033</v>
      </c>
      <c r="F772" s="20" t="s">
        <v>117</v>
      </c>
      <c r="G772" s="20" t="s">
        <v>1798</v>
      </c>
      <c r="H772" s="32" t="s">
        <v>2939</v>
      </c>
      <c r="I772" s="25" t="s">
        <v>64</v>
      </c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59" t="s">
        <v>2940</v>
      </c>
      <c r="X772" s="25" t="s">
        <v>2941</v>
      </c>
      <c r="Y772" s="25"/>
      <c r="Z772" s="25"/>
      <c r="AA772" s="40"/>
      <c r="AB772" s="40"/>
      <c r="AC772" s="25" t="str">
        <f>TRIM(StudentScore[[#This Row],[Student Email]])</f>
        <v>chanisara.jon@student.mahidol.ac.th</v>
      </c>
    </row>
    <row r="773" spans="1:29" ht="27">
      <c r="A773" s="15"/>
      <c r="B773" s="27">
        <f t="shared" si="38"/>
        <v>65</v>
      </c>
      <c r="C773" s="27">
        <f t="shared" si="39"/>
        <v>2025</v>
      </c>
      <c r="D773" s="54"/>
      <c r="E773" s="19">
        <v>6588034</v>
      </c>
      <c r="F773" s="20" t="s">
        <v>38</v>
      </c>
      <c r="G773" s="20" t="s">
        <v>2942</v>
      </c>
      <c r="H773" s="32" t="s">
        <v>2943</v>
      </c>
      <c r="I773" s="25" t="s">
        <v>64</v>
      </c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59" t="s">
        <v>2944</v>
      </c>
      <c r="X773" s="25" t="s">
        <v>2945</v>
      </c>
      <c r="Y773" s="25"/>
      <c r="Z773" s="25"/>
      <c r="AA773" s="40"/>
      <c r="AB773" s="40"/>
      <c r="AC773" s="25" t="str">
        <f>TRIM(StudentScore[[#This Row],[Student Email]])</f>
        <v>jakkaphat.jum@student.mahidol.ac.th</v>
      </c>
    </row>
    <row r="774" spans="1:29" ht="27">
      <c r="A774" s="15"/>
      <c r="B774" s="27">
        <f t="shared" si="38"/>
        <v>65</v>
      </c>
      <c r="C774" s="27">
        <f t="shared" si="39"/>
        <v>2025</v>
      </c>
      <c r="D774" s="54"/>
      <c r="E774" s="19">
        <v>6588035</v>
      </c>
      <c r="F774" s="20" t="s">
        <v>38</v>
      </c>
      <c r="G774" s="20" t="s">
        <v>2946</v>
      </c>
      <c r="H774" s="32" t="s">
        <v>2947</v>
      </c>
      <c r="I774" s="25" t="s">
        <v>64</v>
      </c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59" t="s">
        <v>2948</v>
      </c>
      <c r="X774" s="25" t="s">
        <v>2949</v>
      </c>
      <c r="Y774" s="25"/>
      <c r="Z774" s="25"/>
      <c r="AA774" s="40"/>
      <c r="AB774" s="40"/>
      <c r="AC774" s="25" t="str">
        <f>TRIM(StudentScore[[#This Row],[Student Email]])</f>
        <v>korntouch.kae@student.mahidol.ac.th</v>
      </c>
    </row>
    <row r="775" spans="1:29" ht="27">
      <c r="A775" s="15"/>
      <c r="B775" s="27">
        <f t="shared" ref="B775:B806" si="40">VALUE(LEFT(E775,2))</f>
        <v>65</v>
      </c>
      <c r="C775" s="27">
        <f t="shared" ref="C775:C806" si="41">VALUE("25"&amp;B775)-543+3</f>
        <v>2025</v>
      </c>
      <c r="D775" s="54"/>
      <c r="E775" s="19">
        <v>6588036</v>
      </c>
      <c r="F775" s="20" t="s">
        <v>38</v>
      </c>
      <c r="G775" s="20" t="s">
        <v>2950</v>
      </c>
      <c r="H775" s="32" t="s">
        <v>2951</v>
      </c>
      <c r="I775" s="25" t="s">
        <v>64</v>
      </c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59" t="s">
        <v>2952</v>
      </c>
      <c r="X775" s="25" t="s">
        <v>2953</v>
      </c>
      <c r="Y775" s="25"/>
      <c r="Z775" s="25"/>
      <c r="AA775" s="40"/>
      <c r="AB775" s="40"/>
      <c r="AC775" s="25" t="str">
        <f>TRIM(StudentScore[[#This Row],[Student Email]])</f>
        <v>itthisak.kam@student.mahidol.ac.th</v>
      </c>
    </row>
    <row r="776" spans="1:29" ht="27">
      <c r="A776" s="15"/>
      <c r="B776" s="27">
        <f t="shared" si="40"/>
        <v>65</v>
      </c>
      <c r="C776" s="27">
        <f t="shared" si="41"/>
        <v>2025</v>
      </c>
      <c r="D776" s="54"/>
      <c r="E776" s="19">
        <v>6588037</v>
      </c>
      <c r="F776" s="20" t="s">
        <v>38</v>
      </c>
      <c r="G776" s="20" t="s">
        <v>2954</v>
      </c>
      <c r="H776" s="32" t="s">
        <v>2955</v>
      </c>
      <c r="I776" s="25" t="s">
        <v>124</v>
      </c>
      <c r="J776" s="25">
        <v>5.5</v>
      </c>
      <c r="K776" s="25">
        <v>5.5</v>
      </c>
      <c r="L776" s="25">
        <v>6</v>
      </c>
      <c r="M776" s="25">
        <v>5.5</v>
      </c>
      <c r="N776" s="25">
        <v>5</v>
      </c>
      <c r="O776" s="25"/>
      <c r="P776" s="25"/>
      <c r="Q776" s="25"/>
      <c r="R776" s="25"/>
      <c r="S776" s="26">
        <v>44516</v>
      </c>
      <c r="T776" s="61">
        <v>44809</v>
      </c>
      <c r="U776" s="25"/>
      <c r="V776" s="25"/>
      <c r="W776" s="59" t="s">
        <v>2956</v>
      </c>
      <c r="X776" s="25" t="s">
        <v>2957</v>
      </c>
      <c r="Y776" s="42">
        <v>44809.58929398148</v>
      </c>
      <c r="Z776" s="25" t="s">
        <v>2958</v>
      </c>
      <c r="AA776" s="40"/>
      <c r="AB776" s="40"/>
      <c r="AC776" s="25" t="str">
        <f>TRIM(StudentScore[[#This Row],[Student Email]])</f>
        <v>jirakit.kan@student.mahidol.ac.th</v>
      </c>
    </row>
    <row r="777" spans="1:29" ht="27">
      <c r="A777" s="15"/>
      <c r="B777" s="27">
        <f t="shared" si="40"/>
        <v>65</v>
      </c>
      <c r="C777" s="27">
        <f t="shared" si="41"/>
        <v>2025</v>
      </c>
      <c r="D777" s="54"/>
      <c r="E777" s="19">
        <v>6588038</v>
      </c>
      <c r="F777" s="20" t="s">
        <v>38</v>
      </c>
      <c r="G777" s="20" t="s">
        <v>2211</v>
      </c>
      <c r="H777" s="32" t="s">
        <v>2959</v>
      </c>
      <c r="I777" s="25" t="s">
        <v>124</v>
      </c>
      <c r="J777" s="25">
        <v>6</v>
      </c>
      <c r="K777" s="25">
        <v>6</v>
      </c>
      <c r="L777" s="25">
        <v>6</v>
      </c>
      <c r="M777" s="25">
        <v>5.5</v>
      </c>
      <c r="N777" s="25">
        <v>5.5</v>
      </c>
      <c r="O777" s="25"/>
      <c r="P777" s="25"/>
      <c r="Q777" s="25"/>
      <c r="R777" s="25"/>
      <c r="S777" s="26">
        <v>44483</v>
      </c>
      <c r="T777" s="51">
        <v>44835</v>
      </c>
      <c r="U777" s="25"/>
      <c r="V777" s="25"/>
      <c r="W777" s="59" t="s">
        <v>2960</v>
      </c>
      <c r="X777" s="25" t="s">
        <v>2961</v>
      </c>
      <c r="Y777" s="42">
        <v>44833.608263888891</v>
      </c>
      <c r="Z777" s="25" t="s">
        <v>2962</v>
      </c>
      <c r="AA777" s="40"/>
      <c r="AB777" s="40"/>
      <c r="AC777" s="25" t="str">
        <f>TRIM(StudentScore[[#This Row],[Student Email]])</f>
        <v>tawan.kao@student.mahidol.ac.th</v>
      </c>
    </row>
    <row r="778" spans="1:29" ht="27">
      <c r="A778" s="15"/>
      <c r="B778" s="27">
        <f t="shared" si="40"/>
        <v>65</v>
      </c>
      <c r="C778" s="27">
        <f t="shared" si="41"/>
        <v>2025</v>
      </c>
      <c r="D778" s="54"/>
      <c r="E778" s="19">
        <v>6588039</v>
      </c>
      <c r="F778" s="20" t="s">
        <v>38</v>
      </c>
      <c r="G778" s="20" t="s">
        <v>2963</v>
      </c>
      <c r="H778" s="32" t="s">
        <v>2964</v>
      </c>
      <c r="I778" s="25" t="s">
        <v>64</v>
      </c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59" t="s">
        <v>2965</v>
      </c>
      <c r="X778" s="25" t="s">
        <v>2966</v>
      </c>
      <c r="Y778" s="25"/>
      <c r="Z778" s="25"/>
      <c r="AA778" s="40"/>
      <c r="AB778" s="40"/>
      <c r="AC778" s="25" t="str">
        <f>TRIM(StudentScore[[#This Row],[Student Email]])</f>
        <v>chayootpone.kaw@student.mahidol.ac.th</v>
      </c>
    </row>
    <row r="779" spans="1:29" ht="27">
      <c r="A779" s="15"/>
      <c r="B779" s="27">
        <f t="shared" si="40"/>
        <v>65</v>
      </c>
      <c r="C779" s="27">
        <f t="shared" si="41"/>
        <v>2025</v>
      </c>
      <c r="D779" s="54"/>
      <c r="E779" s="19">
        <v>6588040</v>
      </c>
      <c r="F779" s="20" t="s">
        <v>38</v>
      </c>
      <c r="G779" s="20" t="s">
        <v>2967</v>
      </c>
      <c r="H779" s="32" t="s">
        <v>2968</v>
      </c>
      <c r="I779" s="25" t="s">
        <v>64</v>
      </c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59" t="s">
        <v>2969</v>
      </c>
      <c r="X779" s="25" t="s">
        <v>2970</v>
      </c>
      <c r="Y779" s="25"/>
      <c r="Z779" s="25"/>
      <c r="AA779" s="40"/>
      <c r="AB779" s="40"/>
      <c r="AC779" s="25" t="str">
        <f>TRIM(StudentScore[[#This Row],[Student Email]])</f>
        <v>ratanapol.kea@student.mahidol.ac.th</v>
      </c>
    </row>
    <row r="780" spans="1:29" ht="27">
      <c r="A780" s="15"/>
      <c r="B780" s="27">
        <f t="shared" si="40"/>
        <v>65</v>
      </c>
      <c r="C780" s="27">
        <f t="shared" si="41"/>
        <v>2025</v>
      </c>
      <c r="D780" s="54"/>
      <c r="E780" s="19">
        <v>6588041</v>
      </c>
      <c r="F780" s="20" t="s">
        <v>117</v>
      </c>
      <c r="G780" s="20" t="s">
        <v>2446</v>
      </c>
      <c r="H780" s="32" t="s">
        <v>2971</v>
      </c>
      <c r="I780" s="25" t="s">
        <v>64</v>
      </c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59" t="s">
        <v>2972</v>
      </c>
      <c r="X780" s="25" t="s">
        <v>2973</v>
      </c>
      <c r="Y780" s="25"/>
      <c r="Z780" s="25"/>
      <c r="AA780" s="40"/>
      <c r="AB780" s="40"/>
      <c r="AC780" s="25" t="str">
        <f>TRIM(StudentScore[[#This Row],[Student Email]])</f>
        <v>chalisa.keg@student.mahidol.ac.th</v>
      </c>
    </row>
    <row r="781" spans="1:29" ht="27">
      <c r="A781" s="15"/>
      <c r="B781" s="27">
        <f t="shared" si="40"/>
        <v>65</v>
      </c>
      <c r="C781" s="27">
        <f t="shared" si="41"/>
        <v>2025</v>
      </c>
      <c r="D781" s="54"/>
      <c r="E781" s="19">
        <v>6588042</v>
      </c>
      <c r="F781" s="20" t="s">
        <v>117</v>
      </c>
      <c r="G781" s="20" t="s">
        <v>2974</v>
      </c>
      <c r="H781" s="32" t="s">
        <v>2975</v>
      </c>
      <c r="I781" s="25" t="s">
        <v>64</v>
      </c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59" t="s">
        <v>2976</v>
      </c>
      <c r="X781" s="25" t="s">
        <v>2977</v>
      </c>
      <c r="Y781" s="25"/>
      <c r="Z781" s="25"/>
      <c r="AA781" s="40"/>
      <c r="AB781" s="40"/>
      <c r="AC781" s="25" t="str">
        <f>TRIM(StudentScore[[#This Row],[Student Email]])</f>
        <v>nintawa.ken@student.mahidol.ac.th</v>
      </c>
    </row>
    <row r="782" spans="1:29" ht="27">
      <c r="A782" s="15"/>
      <c r="B782" s="27">
        <f t="shared" si="40"/>
        <v>65</v>
      </c>
      <c r="C782" s="27">
        <f t="shared" si="41"/>
        <v>2025</v>
      </c>
      <c r="D782" s="54"/>
      <c r="E782" s="19">
        <v>6588043</v>
      </c>
      <c r="F782" s="20" t="s">
        <v>38</v>
      </c>
      <c r="G782" s="20" t="s">
        <v>2978</v>
      </c>
      <c r="H782" s="32" t="s">
        <v>2979</v>
      </c>
      <c r="I782" s="25" t="s">
        <v>214</v>
      </c>
      <c r="J782" s="25">
        <v>100</v>
      </c>
      <c r="K782" s="25"/>
      <c r="L782" s="25"/>
      <c r="M782" s="25"/>
      <c r="N782" s="25"/>
      <c r="O782" s="25">
        <v>105</v>
      </c>
      <c r="P782" s="25">
        <v>75</v>
      </c>
      <c r="Q782" s="25">
        <v>100</v>
      </c>
      <c r="R782" s="25">
        <v>75</v>
      </c>
      <c r="S782" s="26">
        <v>44909</v>
      </c>
      <c r="T782" s="35">
        <v>44935</v>
      </c>
      <c r="U782" s="25"/>
      <c r="V782" s="25"/>
      <c r="W782" s="59" t="s">
        <v>2980</v>
      </c>
      <c r="X782" s="25" t="s">
        <v>2981</v>
      </c>
      <c r="Y782" s="42">
        <v>44935.392812500002</v>
      </c>
      <c r="Z782" s="25" t="s">
        <v>2982</v>
      </c>
      <c r="AA782" s="40"/>
      <c r="AB782" s="40"/>
      <c r="AC782" s="25" t="str">
        <f>TRIM(StudentScore[[#This Row],[Student Email]])</f>
        <v>nuntapob.khe@student.mahidol.ac.th</v>
      </c>
    </row>
    <row r="783" spans="1:29" ht="27">
      <c r="A783" s="15"/>
      <c r="B783" s="27">
        <f t="shared" si="40"/>
        <v>65</v>
      </c>
      <c r="C783" s="27">
        <f t="shared" si="41"/>
        <v>2025</v>
      </c>
      <c r="D783" s="54"/>
      <c r="E783" s="19">
        <v>6588044</v>
      </c>
      <c r="F783" s="20" t="s">
        <v>38</v>
      </c>
      <c r="G783" s="20" t="s">
        <v>2983</v>
      </c>
      <c r="H783" s="32" t="s">
        <v>2984</v>
      </c>
      <c r="I783" s="25" t="s">
        <v>41</v>
      </c>
      <c r="J783" s="25">
        <v>590</v>
      </c>
      <c r="K783" s="25">
        <v>63</v>
      </c>
      <c r="L783" s="25">
        <v>58</v>
      </c>
      <c r="M783" s="25">
        <v>56</v>
      </c>
      <c r="N783" s="25"/>
      <c r="O783" s="25"/>
      <c r="P783" s="25"/>
      <c r="Q783" s="25"/>
      <c r="R783" s="25"/>
      <c r="S783" s="26">
        <v>44712</v>
      </c>
      <c r="T783" s="26">
        <v>44774</v>
      </c>
      <c r="U783" s="25" t="s">
        <v>2261</v>
      </c>
      <c r="V783" s="25"/>
      <c r="W783" s="59" t="s">
        <v>2985</v>
      </c>
      <c r="X783" s="25" t="s">
        <v>2986</v>
      </c>
      <c r="Y783" s="25"/>
      <c r="Z783" s="25"/>
      <c r="AA783" s="40"/>
      <c r="AB783" s="40"/>
      <c r="AC783" s="25" t="str">
        <f>TRIM(StudentScore[[#This Row],[Student Email]])</f>
        <v>rachaphon.khu@student.mahidol.ac.th</v>
      </c>
    </row>
    <row r="784" spans="1:29" ht="27">
      <c r="A784" s="15"/>
      <c r="B784" s="27">
        <f t="shared" si="40"/>
        <v>65</v>
      </c>
      <c r="C784" s="27">
        <f t="shared" si="41"/>
        <v>2025</v>
      </c>
      <c r="D784" s="54"/>
      <c r="E784" s="19">
        <v>6588045</v>
      </c>
      <c r="F784" s="20" t="s">
        <v>38</v>
      </c>
      <c r="G784" s="20" t="s">
        <v>2987</v>
      </c>
      <c r="H784" s="32" t="s">
        <v>2988</v>
      </c>
      <c r="I784" s="25" t="s">
        <v>41</v>
      </c>
      <c r="J784" s="25">
        <v>530</v>
      </c>
      <c r="K784" s="25">
        <v>61</v>
      </c>
      <c r="L784" s="25">
        <v>51</v>
      </c>
      <c r="M784" s="25">
        <v>47</v>
      </c>
      <c r="N784" s="25"/>
      <c r="O784" s="25"/>
      <c r="P784" s="25"/>
      <c r="Q784" s="25"/>
      <c r="R784" s="25"/>
      <c r="S784" s="26">
        <v>44712</v>
      </c>
      <c r="T784" s="26">
        <v>44774</v>
      </c>
      <c r="U784" s="25" t="s">
        <v>2261</v>
      </c>
      <c r="V784" s="25"/>
      <c r="W784" s="59" t="s">
        <v>2989</v>
      </c>
      <c r="X784" s="25" t="s">
        <v>2990</v>
      </c>
      <c r="Y784" s="25"/>
      <c r="Z784" s="25"/>
      <c r="AA784" s="40"/>
      <c r="AB784" s="40"/>
      <c r="AC784" s="25" t="str">
        <f>TRIM(StudentScore[[#This Row],[Student Email]])</f>
        <v>kasama.kia@student.mahidol.ac.th</v>
      </c>
    </row>
    <row r="785" spans="1:29" ht="27">
      <c r="A785" s="15"/>
      <c r="B785" s="27">
        <f t="shared" si="40"/>
        <v>65</v>
      </c>
      <c r="C785" s="27">
        <f t="shared" si="41"/>
        <v>2025</v>
      </c>
      <c r="D785" s="54"/>
      <c r="E785" s="19">
        <v>6588046</v>
      </c>
      <c r="F785" s="20" t="s">
        <v>38</v>
      </c>
      <c r="G785" s="20" t="s">
        <v>2991</v>
      </c>
      <c r="H785" s="32" t="s">
        <v>2992</v>
      </c>
      <c r="I785" s="25" t="s">
        <v>64</v>
      </c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59" t="s">
        <v>2993</v>
      </c>
      <c r="X785" s="25" t="s">
        <v>2994</v>
      </c>
      <c r="Y785" s="25"/>
      <c r="Z785" s="25"/>
      <c r="AA785" s="40"/>
      <c r="AB785" s="40"/>
      <c r="AC785" s="25" t="str">
        <f>TRIM(StudentScore[[#This Row],[Student Email]])</f>
        <v>tonnam.kie@student.mahidol.ac.th</v>
      </c>
    </row>
    <row r="786" spans="1:29" ht="27">
      <c r="A786" s="15"/>
      <c r="B786" s="27">
        <f t="shared" si="40"/>
        <v>65</v>
      </c>
      <c r="C786" s="27">
        <f t="shared" si="41"/>
        <v>2025</v>
      </c>
      <c r="D786" s="54"/>
      <c r="E786" s="19">
        <v>6588047</v>
      </c>
      <c r="F786" s="20" t="s">
        <v>38</v>
      </c>
      <c r="G786" s="20" t="s">
        <v>2995</v>
      </c>
      <c r="H786" s="32" t="s">
        <v>2996</v>
      </c>
      <c r="I786" s="25" t="s">
        <v>41</v>
      </c>
      <c r="J786" s="25">
        <v>570</v>
      </c>
      <c r="K786" s="25">
        <v>60</v>
      </c>
      <c r="L786" s="25">
        <v>53</v>
      </c>
      <c r="M786" s="25">
        <v>58</v>
      </c>
      <c r="N786" s="25"/>
      <c r="O786" s="25"/>
      <c r="P786" s="25"/>
      <c r="Q786" s="25"/>
      <c r="R786" s="25"/>
      <c r="S786" s="26">
        <v>44712</v>
      </c>
      <c r="T786" s="26">
        <v>44774</v>
      </c>
      <c r="U786" s="25" t="s">
        <v>2261</v>
      </c>
      <c r="V786" s="25"/>
      <c r="W786" s="59" t="s">
        <v>2997</v>
      </c>
      <c r="X786" s="25" t="s">
        <v>2998</v>
      </c>
      <c r="Y786" s="25"/>
      <c r="Z786" s="25"/>
      <c r="AA786" s="40"/>
      <c r="AB786" s="40"/>
      <c r="AC786" s="25" t="str">
        <f>TRIM(StudentScore[[#This Row],[Student Email]])</f>
        <v>patsawat.kit@student.mahidol.ac.th</v>
      </c>
    </row>
    <row r="787" spans="1:29" ht="27">
      <c r="A787" s="15"/>
      <c r="B787" s="27">
        <f t="shared" si="40"/>
        <v>65</v>
      </c>
      <c r="C787" s="27">
        <f t="shared" si="41"/>
        <v>2025</v>
      </c>
      <c r="D787" s="54"/>
      <c r="E787" s="19">
        <v>6588048</v>
      </c>
      <c r="F787" s="20" t="s">
        <v>38</v>
      </c>
      <c r="G787" s="20" t="s">
        <v>2999</v>
      </c>
      <c r="H787" s="32" t="s">
        <v>3000</v>
      </c>
      <c r="I787" s="25" t="s">
        <v>41</v>
      </c>
      <c r="J787" s="25">
        <v>530</v>
      </c>
      <c r="K787" s="25">
        <v>54</v>
      </c>
      <c r="L787" s="25">
        <v>55</v>
      </c>
      <c r="M787" s="25">
        <v>50</v>
      </c>
      <c r="N787" s="25"/>
      <c r="O787" s="25"/>
      <c r="P787" s="25"/>
      <c r="Q787" s="25"/>
      <c r="R787" s="25"/>
      <c r="S787" s="26">
        <v>44712</v>
      </c>
      <c r="T787" s="26">
        <v>44774</v>
      </c>
      <c r="U787" s="25" t="s">
        <v>2261</v>
      </c>
      <c r="V787" s="25"/>
      <c r="W787" s="59" t="s">
        <v>3001</v>
      </c>
      <c r="X787" s="25" t="s">
        <v>3002</v>
      </c>
      <c r="Y787" s="25"/>
      <c r="Z787" s="25"/>
      <c r="AA787" s="40"/>
      <c r="AB787" s="40"/>
      <c r="AC787" s="25" t="str">
        <f>TRIM(StudentScore[[#This Row],[Student Email]])</f>
        <v>poonyawatt.klu@student.mahidol.ac.th</v>
      </c>
    </row>
    <row r="788" spans="1:29" ht="27">
      <c r="A788" s="15"/>
      <c r="B788" s="27">
        <f t="shared" si="40"/>
        <v>65</v>
      </c>
      <c r="C788" s="27">
        <f t="shared" si="41"/>
        <v>2025</v>
      </c>
      <c r="D788" s="54"/>
      <c r="E788" s="19">
        <v>6588049</v>
      </c>
      <c r="F788" s="20" t="s">
        <v>117</v>
      </c>
      <c r="G788" s="20" t="s">
        <v>3003</v>
      </c>
      <c r="H788" s="32" t="s">
        <v>3004</v>
      </c>
      <c r="I788" s="25" t="s">
        <v>64</v>
      </c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59" t="s">
        <v>3005</v>
      </c>
      <c r="X788" s="25" t="s">
        <v>3006</v>
      </c>
      <c r="Y788" s="25"/>
      <c r="Z788" s="25"/>
      <c r="AA788" s="40"/>
      <c r="AB788" s="40"/>
      <c r="AC788" s="25" t="str">
        <f>TRIM(StudentScore[[#This Row],[Student Email]])</f>
        <v>poonnapa.kon@student.mahidol.ac.th</v>
      </c>
    </row>
    <row r="789" spans="1:29" ht="27">
      <c r="A789" s="15"/>
      <c r="B789" s="27">
        <f t="shared" si="40"/>
        <v>65</v>
      </c>
      <c r="C789" s="27">
        <f t="shared" si="41"/>
        <v>2025</v>
      </c>
      <c r="D789" s="54"/>
      <c r="E789" s="19">
        <v>6588050</v>
      </c>
      <c r="F789" s="20" t="s">
        <v>117</v>
      </c>
      <c r="G789" s="20" t="s">
        <v>3007</v>
      </c>
      <c r="H789" s="32" t="s">
        <v>3008</v>
      </c>
      <c r="I789" s="25" t="s">
        <v>53</v>
      </c>
      <c r="J789" s="25">
        <v>94</v>
      </c>
      <c r="K789" s="25">
        <v>45</v>
      </c>
      <c r="L789" s="25">
        <v>49</v>
      </c>
      <c r="M789" s="25"/>
      <c r="N789" s="25"/>
      <c r="O789" s="25"/>
      <c r="P789" s="25"/>
      <c r="Q789" s="25"/>
      <c r="R789" s="25"/>
      <c r="S789" s="26">
        <v>44738</v>
      </c>
      <c r="T789" s="51">
        <v>44835</v>
      </c>
      <c r="U789" s="25"/>
      <c r="V789" s="25"/>
      <c r="W789" s="59" t="s">
        <v>3009</v>
      </c>
      <c r="X789" s="25" t="s">
        <v>3010</v>
      </c>
      <c r="Y789" s="25"/>
      <c r="Z789" s="25"/>
      <c r="AA789" s="40"/>
      <c r="AB789" s="40"/>
      <c r="AC789" s="25" t="str">
        <f>TRIM(StudentScore[[#This Row],[Student Email]])</f>
        <v>ornjira.kor@student.mahidol.ac.th</v>
      </c>
    </row>
    <row r="790" spans="1:29" ht="27">
      <c r="A790" s="15"/>
      <c r="B790" s="27">
        <f t="shared" si="40"/>
        <v>65</v>
      </c>
      <c r="C790" s="27">
        <f t="shared" si="41"/>
        <v>2025</v>
      </c>
      <c r="D790" s="54"/>
      <c r="E790" s="19">
        <v>6588051</v>
      </c>
      <c r="F790" s="20" t="s">
        <v>38</v>
      </c>
      <c r="G790" s="20" t="s">
        <v>3011</v>
      </c>
      <c r="H790" s="32" t="s">
        <v>3012</v>
      </c>
      <c r="I790" s="25" t="s">
        <v>64</v>
      </c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59" t="s">
        <v>3013</v>
      </c>
      <c r="X790" s="25" t="s">
        <v>3014</v>
      </c>
      <c r="Y790" s="25"/>
      <c r="Z790" s="25"/>
      <c r="AA790" s="40"/>
      <c r="AB790" s="40"/>
      <c r="AC790" s="25" t="str">
        <f>TRIM(StudentScore[[#This Row],[Student Email]])</f>
        <v>benjaphol.kos@student.mahidol.ac.th</v>
      </c>
    </row>
    <row r="791" spans="1:29" ht="27">
      <c r="A791" s="15"/>
      <c r="B791" s="27">
        <f t="shared" si="40"/>
        <v>65</v>
      </c>
      <c r="C791" s="27">
        <f t="shared" si="41"/>
        <v>2025</v>
      </c>
      <c r="D791" s="54"/>
      <c r="E791" s="19">
        <v>6588052</v>
      </c>
      <c r="F791" s="20" t="s">
        <v>38</v>
      </c>
      <c r="G791" s="20" t="s">
        <v>3015</v>
      </c>
      <c r="H791" s="32" t="s">
        <v>3016</v>
      </c>
      <c r="I791" s="25" t="s">
        <v>41</v>
      </c>
      <c r="J791" s="25">
        <v>543</v>
      </c>
      <c r="K791" s="25">
        <v>57</v>
      </c>
      <c r="L791" s="25">
        <v>57</v>
      </c>
      <c r="M791" s="25">
        <v>49</v>
      </c>
      <c r="N791" s="25"/>
      <c r="O791" s="25"/>
      <c r="P791" s="25"/>
      <c r="Q791" s="25"/>
      <c r="R791" s="25"/>
      <c r="S791" s="26">
        <v>44712</v>
      </c>
      <c r="T791" s="26">
        <v>44774</v>
      </c>
      <c r="U791" s="25" t="s">
        <v>2261</v>
      </c>
      <c r="V791" s="25"/>
      <c r="W791" s="59" t="s">
        <v>3017</v>
      </c>
      <c r="X791" s="25" t="s">
        <v>3018</v>
      </c>
      <c r="Y791" s="25"/>
      <c r="Z791" s="25"/>
      <c r="AA791" s="40"/>
      <c r="AB791" s="40"/>
      <c r="AC791" s="25" t="str">
        <f>TRIM(StudentScore[[#This Row],[Student Email]])</f>
        <v>sanhanut.kun@student.mahidol.ac.th</v>
      </c>
    </row>
    <row r="792" spans="1:29" ht="27">
      <c r="A792" s="15"/>
      <c r="B792" s="27">
        <f t="shared" si="40"/>
        <v>65</v>
      </c>
      <c r="C792" s="27">
        <f t="shared" si="41"/>
        <v>2025</v>
      </c>
      <c r="D792" s="54"/>
      <c r="E792" s="19">
        <v>6588053</v>
      </c>
      <c r="F792" s="20" t="s">
        <v>38</v>
      </c>
      <c r="G792" s="20" t="s">
        <v>3019</v>
      </c>
      <c r="H792" s="32" t="s">
        <v>3020</v>
      </c>
      <c r="I792" s="25" t="s">
        <v>41</v>
      </c>
      <c r="J792" s="25">
        <v>630</v>
      </c>
      <c r="K792" s="25">
        <v>64</v>
      </c>
      <c r="L792" s="25">
        <v>61</v>
      </c>
      <c r="M792" s="25">
        <v>64</v>
      </c>
      <c r="N792" s="25"/>
      <c r="O792" s="25"/>
      <c r="P792" s="25"/>
      <c r="Q792" s="25"/>
      <c r="R792" s="25"/>
      <c r="S792" s="26">
        <v>44712</v>
      </c>
      <c r="T792" s="26">
        <v>44774</v>
      </c>
      <c r="U792" s="25" t="s">
        <v>2261</v>
      </c>
      <c r="V792" s="25"/>
      <c r="W792" s="59" t="s">
        <v>3021</v>
      </c>
      <c r="X792" s="25" t="s">
        <v>3022</v>
      </c>
      <c r="Y792" s="25"/>
      <c r="Z792" s="25"/>
      <c r="AA792" s="40"/>
      <c r="AB792" s="40"/>
      <c r="AC792" s="25" t="str">
        <f>TRIM(StudentScore[[#This Row],[Student Email]])</f>
        <v>phoonawit.ler@student.mahidol.ac.th</v>
      </c>
    </row>
    <row r="793" spans="1:29" ht="27">
      <c r="A793" s="15"/>
      <c r="B793" s="27">
        <f t="shared" si="40"/>
        <v>65</v>
      </c>
      <c r="C793" s="27">
        <f t="shared" si="41"/>
        <v>2025</v>
      </c>
      <c r="D793" s="54"/>
      <c r="E793" s="19">
        <v>6588054</v>
      </c>
      <c r="F793" s="20" t="s">
        <v>38</v>
      </c>
      <c r="G793" s="20" t="s">
        <v>3023</v>
      </c>
      <c r="H793" s="32" t="s">
        <v>3024</v>
      </c>
      <c r="I793" s="25" t="s">
        <v>41</v>
      </c>
      <c r="J793" s="25">
        <v>600</v>
      </c>
      <c r="K793" s="25">
        <v>58</v>
      </c>
      <c r="L793" s="25">
        <v>57</v>
      </c>
      <c r="M793" s="25">
        <v>65</v>
      </c>
      <c r="N793" s="25"/>
      <c r="O793" s="25"/>
      <c r="P793" s="25"/>
      <c r="Q793" s="25"/>
      <c r="R793" s="25"/>
      <c r="S793" s="26">
        <v>44712</v>
      </c>
      <c r="T793" s="26">
        <v>44774</v>
      </c>
      <c r="U793" s="25" t="s">
        <v>2261</v>
      </c>
      <c r="V793" s="25"/>
      <c r="W793" s="59" t="s">
        <v>3025</v>
      </c>
      <c r="X793" s="25" t="s">
        <v>3026</v>
      </c>
      <c r="Y793" s="25"/>
      <c r="Z793" s="25"/>
      <c r="AA793" s="40"/>
      <c r="AB793" s="40"/>
      <c r="AC793" s="25" t="str">
        <f>TRIM(StudentScore[[#This Row],[Student Email]])</f>
        <v>pavit.ler@student.mahidol.ac.th</v>
      </c>
    </row>
    <row r="794" spans="1:29" ht="27">
      <c r="A794" s="15"/>
      <c r="B794" s="27">
        <f t="shared" si="40"/>
        <v>65</v>
      </c>
      <c r="C794" s="27">
        <f t="shared" si="41"/>
        <v>2025</v>
      </c>
      <c r="D794" s="54"/>
      <c r="E794" s="19">
        <v>6588055</v>
      </c>
      <c r="F794" s="20" t="s">
        <v>117</v>
      </c>
      <c r="G794" s="20" t="s">
        <v>3027</v>
      </c>
      <c r="H794" s="32" t="s">
        <v>3028</v>
      </c>
      <c r="I794" s="25" t="s">
        <v>64</v>
      </c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59" t="s">
        <v>3029</v>
      </c>
      <c r="X794" s="25" t="s">
        <v>3030</v>
      </c>
      <c r="Y794" s="25"/>
      <c r="Z794" s="25"/>
      <c r="AA794" s="40"/>
      <c r="AB794" s="40"/>
      <c r="AC794" s="25" t="str">
        <f>TRIM(StudentScore[[#This Row],[Student Email]])</f>
        <v>sasikarn.lun@student.mahidol.ac.th</v>
      </c>
    </row>
    <row r="795" spans="1:29" ht="27">
      <c r="A795" s="15"/>
      <c r="B795" s="27">
        <f t="shared" si="40"/>
        <v>65</v>
      </c>
      <c r="C795" s="27">
        <f t="shared" si="41"/>
        <v>2025</v>
      </c>
      <c r="D795" s="54"/>
      <c r="E795" s="19">
        <v>6588056</v>
      </c>
      <c r="F795" s="20" t="s">
        <v>117</v>
      </c>
      <c r="G795" s="20" t="s">
        <v>3031</v>
      </c>
      <c r="H795" s="32" t="s">
        <v>3032</v>
      </c>
      <c r="I795" s="25" t="s">
        <v>64</v>
      </c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59" t="s">
        <v>3033</v>
      </c>
      <c r="X795" s="25" t="s">
        <v>3034</v>
      </c>
      <c r="Y795" s="25"/>
      <c r="Z795" s="25"/>
      <c r="AA795" s="40"/>
      <c r="AB795" s="40"/>
      <c r="AC795" s="25" t="str">
        <f>TRIM(StudentScore[[#This Row],[Student Email]])</f>
        <v>radchaneekorn.mah@student.mahidol.ac.th</v>
      </c>
    </row>
    <row r="796" spans="1:29" ht="27">
      <c r="A796" s="15"/>
      <c r="B796" s="27">
        <f t="shared" si="40"/>
        <v>65</v>
      </c>
      <c r="C796" s="27">
        <f t="shared" si="41"/>
        <v>2025</v>
      </c>
      <c r="D796" s="54"/>
      <c r="E796" s="19">
        <v>6588057</v>
      </c>
      <c r="F796" s="20" t="s">
        <v>38</v>
      </c>
      <c r="G796" s="20" t="s">
        <v>3035</v>
      </c>
      <c r="H796" s="32" t="s">
        <v>3036</v>
      </c>
      <c r="I796" s="25" t="s">
        <v>64</v>
      </c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59" t="s">
        <v>3037</v>
      </c>
      <c r="X796" s="25" t="s">
        <v>3038</v>
      </c>
      <c r="Y796" s="25"/>
      <c r="Z796" s="25"/>
      <c r="AA796" s="40"/>
      <c r="AB796" s="40"/>
      <c r="AC796" s="25" t="str">
        <f>TRIM(StudentScore[[#This Row],[Student Email]])</f>
        <v>nantipat.man@student.mahidol.ac.th</v>
      </c>
    </row>
    <row r="797" spans="1:29" ht="27">
      <c r="A797" s="15"/>
      <c r="B797" s="27">
        <f t="shared" si="40"/>
        <v>65</v>
      </c>
      <c r="C797" s="27">
        <f t="shared" si="41"/>
        <v>2025</v>
      </c>
      <c r="D797" s="54"/>
      <c r="E797" s="19">
        <v>6588058</v>
      </c>
      <c r="F797" s="20" t="s">
        <v>38</v>
      </c>
      <c r="G797" s="20" t="s">
        <v>3039</v>
      </c>
      <c r="H797" s="32" t="s">
        <v>3040</v>
      </c>
      <c r="I797" s="25" t="s">
        <v>41</v>
      </c>
      <c r="J797" s="25">
        <v>560</v>
      </c>
      <c r="K797" s="25">
        <v>60</v>
      </c>
      <c r="L797" s="25">
        <v>57</v>
      </c>
      <c r="M797" s="25">
        <v>51</v>
      </c>
      <c r="N797" s="25"/>
      <c r="O797" s="25"/>
      <c r="P797" s="25"/>
      <c r="Q797" s="25"/>
      <c r="R797" s="25"/>
      <c r="S797" s="26">
        <v>44712</v>
      </c>
      <c r="T797" s="26">
        <v>44774</v>
      </c>
      <c r="U797" s="25" t="s">
        <v>2261</v>
      </c>
      <c r="V797" s="25"/>
      <c r="W797" s="59" t="s">
        <v>3041</v>
      </c>
      <c r="X797" s="25" t="s">
        <v>3042</v>
      </c>
      <c r="Y797" s="25"/>
      <c r="Z797" s="25"/>
      <c r="AA797" s="40"/>
      <c r="AB797" s="40"/>
      <c r="AC797" s="25" t="str">
        <f>TRIM(StudentScore[[#This Row],[Student Email]])</f>
        <v>natchapol.min@student.mahidol.ac.th</v>
      </c>
    </row>
    <row r="798" spans="1:29" ht="27">
      <c r="A798" s="15"/>
      <c r="B798" s="27">
        <f t="shared" si="40"/>
        <v>65</v>
      </c>
      <c r="C798" s="27">
        <f t="shared" si="41"/>
        <v>2025</v>
      </c>
      <c r="D798" s="54"/>
      <c r="E798" s="19">
        <v>6588059</v>
      </c>
      <c r="F798" s="20" t="s">
        <v>38</v>
      </c>
      <c r="G798" s="20" t="s">
        <v>2392</v>
      </c>
      <c r="H798" s="32" t="s">
        <v>3043</v>
      </c>
      <c r="I798" s="25" t="s">
        <v>64</v>
      </c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59" t="s">
        <v>3044</v>
      </c>
      <c r="X798" s="25" t="s">
        <v>3045</v>
      </c>
      <c r="Y798" s="25"/>
      <c r="Z798" s="25"/>
      <c r="AA798" s="40"/>
      <c r="AB798" s="40"/>
      <c r="AC798" s="25" t="str">
        <f>TRIM(StudentScore[[#This Row],[Student Email]])</f>
        <v>phusit.mon@student.mahidol.ac.th</v>
      </c>
    </row>
    <row r="799" spans="1:29" ht="27">
      <c r="A799" s="15"/>
      <c r="B799" s="27">
        <f t="shared" si="40"/>
        <v>65</v>
      </c>
      <c r="C799" s="27">
        <f t="shared" si="41"/>
        <v>2025</v>
      </c>
      <c r="D799" s="54"/>
      <c r="E799" s="19">
        <v>6588060</v>
      </c>
      <c r="F799" s="20" t="s">
        <v>117</v>
      </c>
      <c r="G799" s="20" t="s">
        <v>3046</v>
      </c>
      <c r="H799" s="32" t="s">
        <v>3047</v>
      </c>
      <c r="I799" s="25" t="s">
        <v>64</v>
      </c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59" t="s">
        <v>3048</v>
      </c>
      <c r="X799" s="25" t="s">
        <v>3049</v>
      </c>
      <c r="Y799" s="25"/>
      <c r="Z799" s="25"/>
      <c r="AA799" s="40"/>
      <c r="AB799" s="40"/>
      <c r="AC799" s="25" t="str">
        <f>TRIM(StudentScore[[#This Row],[Student Email]])</f>
        <v>saruta.nak@student.mahidol.ac.th</v>
      </c>
    </row>
    <row r="800" spans="1:29" ht="27">
      <c r="A800" s="15"/>
      <c r="B800" s="27">
        <f t="shared" si="40"/>
        <v>65</v>
      </c>
      <c r="C800" s="27">
        <f t="shared" si="41"/>
        <v>2025</v>
      </c>
      <c r="D800" s="54"/>
      <c r="E800" s="19">
        <v>6588061</v>
      </c>
      <c r="F800" s="20" t="s">
        <v>38</v>
      </c>
      <c r="G800" s="20" t="s">
        <v>3050</v>
      </c>
      <c r="H800" s="32" t="s">
        <v>3051</v>
      </c>
      <c r="I800" s="25" t="s">
        <v>124</v>
      </c>
      <c r="J800" s="25">
        <v>5.5</v>
      </c>
      <c r="K800" s="25">
        <v>5.5</v>
      </c>
      <c r="L800" s="25">
        <v>5</v>
      </c>
      <c r="M800" s="25">
        <v>5.5</v>
      </c>
      <c r="N800" s="25">
        <v>5.5</v>
      </c>
      <c r="O800" s="25"/>
      <c r="P800" s="25"/>
      <c r="Q800" s="25"/>
      <c r="R800" s="25"/>
      <c r="S800" s="35">
        <v>44521</v>
      </c>
      <c r="T800" s="51">
        <v>44835</v>
      </c>
      <c r="U800" s="25"/>
      <c r="V800" s="25"/>
      <c r="W800" s="59" t="s">
        <v>3052</v>
      </c>
      <c r="X800" s="25" t="s">
        <v>3053</v>
      </c>
      <c r="Y800" s="25"/>
      <c r="Z800" s="25"/>
      <c r="AA800" s="40"/>
      <c r="AB800" s="40"/>
      <c r="AC800" s="25" t="str">
        <f>TRIM(StudentScore[[#This Row],[Student Email]])</f>
        <v>vichayuth.nga@student.mahidol.ac.th</v>
      </c>
    </row>
    <row r="801" spans="1:29" ht="27">
      <c r="A801" s="15"/>
      <c r="B801" s="27">
        <f t="shared" si="40"/>
        <v>65</v>
      </c>
      <c r="C801" s="27">
        <f t="shared" si="41"/>
        <v>2025</v>
      </c>
      <c r="D801" s="54"/>
      <c r="E801" s="19">
        <v>6588062</v>
      </c>
      <c r="F801" s="20" t="s">
        <v>38</v>
      </c>
      <c r="G801" s="20" t="s">
        <v>3054</v>
      </c>
      <c r="H801" s="32" t="s">
        <v>3055</v>
      </c>
      <c r="I801" s="25" t="s">
        <v>53</v>
      </c>
      <c r="J801" s="25">
        <v>94</v>
      </c>
      <c r="K801" s="25">
        <v>46</v>
      </c>
      <c r="L801" s="25">
        <v>48</v>
      </c>
      <c r="M801" s="25"/>
      <c r="N801" s="25"/>
      <c r="O801" s="25"/>
      <c r="P801" s="25"/>
      <c r="Q801" s="25"/>
      <c r="R801" s="25"/>
      <c r="S801" s="26">
        <v>44730</v>
      </c>
      <c r="T801" s="51">
        <v>44835</v>
      </c>
      <c r="U801" s="25"/>
      <c r="V801" s="25"/>
      <c r="W801" s="59" t="s">
        <v>3056</v>
      </c>
      <c r="X801" s="25" t="s">
        <v>3057</v>
      </c>
      <c r="Y801" s="25"/>
      <c r="Z801" s="25"/>
      <c r="AA801" s="40"/>
      <c r="AB801" s="40"/>
      <c r="AC801" s="25" t="str">
        <f>TRIM(StudentScore[[#This Row],[Student Email]])</f>
        <v>thanachot.onl@student.mahidol.ac.th</v>
      </c>
    </row>
    <row r="802" spans="1:29" ht="27">
      <c r="A802" s="15"/>
      <c r="B802" s="27">
        <f t="shared" si="40"/>
        <v>65</v>
      </c>
      <c r="C802" s="27">
        <f t="shared" si="41"/>
        <v>2025</v>
      </c>
      <c r="D802" s="54"/>
      <c r="E802" s="19">
        <v>6588063</v>
      </c>
      <c r="F802" s="20" t="s">
        <v>117</v>
      </c>
      <c r="G802" s="20" t="s">
        <v>3058</v>
      </c>
      <c r="H802" s="32" t="s">
        <v>3059</v>
      </c>
      <c r="I802" s="25" t="s">
        <v>41</v>
      </c>
      <c r="J802" s="25">
        <v>577</v>
      </c>
      <c r="K802" s="25">
        <v>59</v>
      </c>
      <c r="L802" s="25">
        <v>58</v>
      </c>
      <c r="M802" s="25">
        <v>56</v>
      </c>
      <c r="N802" s="25"/>
      <c r="O802" s="25"/>
      <c r="P802" s="25"/>
      <c r="Q802" s="25"/>
      <c r="R802" s="25"/>
      <c r="S802" s="26">
        <v>44712</v>
      </c>
      <c r="T802" s="26">
        <v>44774</v>
      </c>
      <c r="U802" s="25" t="s">
        <v>2261</v>
      </c>
      <c r="V802" s="25"/>
      <c r="W802" s="59" t="s">
        <v>3060</v>
      </c>
      <c r="X802" s="25" t="s">
        <v>3061</v>
      </c>
      <c r="Y802" s="25"/>
      <c r="Z802" s="25"/>
      <c r="AA802" s="40"/>
      <c r="AB802" s="40"/>
      <c r="AC802" s="25" t="str">
        <f>TRIM(StudentScore[[#This Row],[Student Email]])</f>
        <v>muthita.pak@student.mahidol.ac.th</v>
      </c>
    </row>
    <row r="803" spans="1:29" ht="27">
      <c r="A803" s="15"/>
      <c r="B803" s="27">
        <f t="shared" si="40"/>
        <v>65</v>
      </c>
      <c r="C803" s="27">
        <f t="shared" si="41"/>
        <v>2025</v>
      </c>
      <c r="D803" s="54"/>
      <c r="E803" s="19">
        <v>6588064</v>
      </c>
      <c r="F803" s="20" t="s">
        <v>117</v>
      </c>
      <c r="G803" s="20" t="s">
        <v>3062</v>
      </c>
      <c r="H803" s="32" t="s">
        <v>3063</v>
      </c>
      <c r="I803" s="25" t="s">
        <v>53</v>
      </c>
      <c r="J803" s="25">
        <v>95</v>
      </c>
      <c r="K803" s="25">
        <v>49</v>
      </c>
      <c r="L803" s="25">
        <v>46</v>
      </c>
      <c r="M803" s="25"/>
      <c r="N803" s="25"/>
      <c r="O803" s="25"/>
      <c r="P803" s="25"/>
      <c r="Q803" s="25"/>
      <c r="R803" s="25"/>
      <c r="S803" s="26">
        <v>44738</v>
      </c>
      <c r="T803" s="51">
        <v>44835</v>
      </c>
      <c r="U803" s="25"/>
      <c r="V803" s="25"/>
      <c r="W803" s="59" t="s">
        <v>3064</v>
      </c>
      <c r="X803" s="25" t="s">
        <v>3065</v>
      </c>
      <c r="Y803" s="25"/>
      <c r="Z803" s="25"/>
      <c r="AA803" s="40"/>
      <c r="AB803" s="40"/>
      <c r="AC803" s="25" t="str">
        <f>TRIM(StudentScore[[#This Row],[Student Email]])</f>
        <v>pataraporn.pen@student.mahidol.ac.th</v>
      </c>
    </row>
    <row r="804" spans="1:29" ht="27">
      <c r="A804" s="15"/>
      <c r="B804" s="27">
        <f t="shared" si="40"/>
        <v>65</v>
      </c>
      <c r="C804" s="27">
        <f t="shared" si="41"/>
        <v>2025</v>
      </c>
      <c r="D804" s="54"/>
      <c r="E804" s="19">
        <v>6588065</v>
      </c>
      <c r="F804" s="20" t="s">
        <v>38</v>
      </c>
      <c r="G804" s="20" t="s">
        <v>3066</v>
      </c>
      <c r="H804" s="32" t="s">
        <v>3067</v>
      </c>
      <c r="I804" s="25" t="s">
        <v>64</v>
      </c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59" t="s">
        <v>3068</v>
      </c>
      <c r="X804" s="25" t="s">
        <v>3069</v>
      </c>
      <c r="Y804" s="25"/>
      <c r="Z804" s="25"/>
      <c r="AA804" s="40"/>
      <c r="AB804" s="40"/>
      <c r="AC804" s="25" t="str">
        <f>TRIM(StudentScore[[#This Row],[Student Email]])</f>
        <v>kritthanuuch.peu@student.mahidol.ac.th</v>
      </c>
    </row>
    <row r="805" spans="1:29" ht="27">
      <c r="A805" s="15"/>
      <c r="B805" s="27">
        <f t="shared" si="40"/>
        <v>65</v>
      </c>
      <c r="C805" s="27">
        <f t="shared" si="41"/>
        <v>2025</v>
      </c>
      <c r="D805" s="54"/>
      <c r="E805" s="19">
        <v>6588066</v>
      </c>
      <c r="F805" s="20" t="s">
        <v>117</v>
      </c>
      <c r="G805" s="20" t="s">
        <v>3070</v>
      </c>
      <c r="H805" s="32" t="s">
        <v>3071</v>
      </c>
      <c r="I805" s="25" t="s">
        <v>64</v>
      </c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59" t="s">
        <v>3072</v>
      </c>
      <c r="X805" s="25" t="s">
        <v>3073</v>
      </c>
      <c r="Y805" s="25"/>
      <c r="Z805" s="25"/>
      <c r="AA805" s="40"/>
      <c r="AB805" s="40"/>
      <c r="AC805" s="25" t="str">
        <f>TRIM(StudentScore[[#This Row],[Student Email]])</f>
        <v>manasawan.pen@student.mahidol.ac.th</v>
      </c>
    </row>
    <row r="806" spans="1:29" ht="27">
      <c r="A806" s="15"/>
      <c r="B806" s="27">
        <f t="shared" si="40"/>
        <v>65</v>
      </c>
      <c r="C806" s="27">
        <f t="shared" si="41"/>
        <v>2025</v>
      </c>
      <c r="D806" s="54"/>
      <c r="E806" s="19">
        <v>6588067</v>
      </c>
      <c r="F806" s="20" t="s">
        <v>38</v>
      </c>
      <c r="G806" s="20" t="s">
        <v>3074</v>
      </c>
      <c r="H806" s="32" t="s">
        <v>3075</v>
      </c>
      <c r="I806" s="25" t="s">
        <v>64</v>
      </c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59" t="s">
        <v>3076</v>
      </c>
      <c r="X806" s="25" t="s">
        <v>3077</v>
      </c>
      <c r="Y806" s="25"/>
      <c r="Z806" s="25"/>
      <c r="AA806" s="40"/>
      <c r="AB806" s="40"/>
      <c r="AC806" s="25" t="str">
        <f>TRIM(StudentScore[[#This Row],[Student Email]])</f>
        <v>harith.pha@student.mahidol.ac.th</v>
      </c>
    </row>
    <row r="807" spans="1:29" ht="27">
      <c r="A807" s="15"/>
      <c r="B807" s="27">
        <f t="shared" ref="B807:B838" si="42">VALUE(LEFT(E807,2))</f>
        <v>65</v>
      </c>
      <c r="C807" s="27">
        <f t="shared" ref="C807:C838" si="43">VALUE("25"&amp;B807)-543+3</f>
        <v>2025</v>
      </c>
      <c r="D807" s="54"/>
      <c r="E807" s="19">
        <v>6588068</v>
      </c>
      <c r="F807" s="20" t="s">
        <v>38</v>
      </c>
      <c r="G807" s="20" t="s">
        <v>3078</v>
      </c>
      <c r="H807" s="32" t="s">
        <v>3079</v>
      </c>
      <c r="I807" s="25" t="s">
        <v>41</v>
      </c>
      <c r="J807" s="25">
        <v>563</v>
      </c>
      <c r="K807" s="25">
        <v>63</v>
      </c>
      <c r="L807" s="25">
        <v>56</v>
      </c>
      <c r="M807" s="25">
        <v>50</v>
      </c>
      <c r="N807" s="25"/>
      <c r="O807" s="25"/>
      <c r="P807" s="25"/>
      <c r="Q807" s="25"/>
      <c r="R807" s="25"/>
      <c r="S807" s="26">
        <v>44712</v>
      </c>
      <c r="T807" s="26">
        <v>44774</v>
      </c>
      <c r="U807" s="25" t="s">
        <v>2261</v>
      </c>
      <c r="V807" s="25"/>
      <c r="W807" s="59" t="s">
        <v>3080</v>
      </c>
      <c r="X807" s="25" t="s">
        <v>3081</v>
      </c>
      <c r="Y807" s="25"/>
      <c r="Z807" s="25"/>
      <c r="AA807" s="40"/>
      <c r="AB807" s="40"/>
      <c r="AC807" s="25" t="str">
        <f>TRIM(StudentScore[[#This Row],[Student Email]])</f>
        <v>wasuntha.pha@student.mahidol.ac.th</v>
      </c>
    </row>
    <row r="808" spans="1:29" ht="27">
      <c r="A808" s="15"/>
      <c r="B808" s="27">
        <f t="shared" si="42"/>
        <v>65</v>
      </c>
      <c r="C808" s="27">
        <f t="shared" si="43"/>
        <v>2025</v>
      </c>
      <c r="D808" s="54"/>
      <c r="E808" s="19">
        <v>6588069</v>
      </c>
      <c r="F808" s="20" t="s">
        <v>117</v>
      </c>
      <c r="G808" s="20" t="s">
        <v>3082</v>
      </c>
      <c r="H808" s="32" t="s">
        <v>3083</v>
      </c>
      <c r="I808" s="25" t="s">
        <v>64</v>
      </c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59" t="s">
        <v>3084</v>
      </c>
      <c r="X808" s="25" t="s">
        <v>3085</v>
      </c>
      <c r="Y808" s="25"/>
      <c r="Z808" s="25"/>
      <c r="AA808" s="40"/>
      <c r="AB808" s="40"/>
      <c r="AC808" s="25" t="str">
        <f>TRIM(StudentScore[[#This Row],[Student Email]])</f>
        <v>phanthira.pha@student.mahidol.ac.th</v>
      </c>
    </row>
    <row r="809" spans="1:29" ht="27">
      <c r="A809" s="15"/>
      <c r="B809" s="27">
        <f t="shared" si="42"/>
        <v>65</v>
      </c>
      <c r="C809" s="27">
        <f t="shared" si="43"/>
        <v>2025</v>
      </c>
      <c r="D809" s="54"/>
      <c r="E809" s="19">
        <v>6588070</v>
      </c>
      <c r="F809" s="20" t="s">
        <v>38</v>
      </c>
      <c r="G809" s="20" t="s">
        <v>3086</v>
      </c>
      <c r="H809" s="32" t="s">
        <v>3087</v>
      </c>
      <c r="I809" s="25" t="s">
        <v>41</v>
      </c>
      <c r="J809" s="25">
        <v>533</v>
      </c>
      <c r="K809" s="25">
        <v>56</v>
      </c>
      <c r="L809" s="25">
        <v>56</v>
      </c>
      <c r="M809" s="25">
        <v>48</v>
      </c>
      <c r="N809" s="25"/>
      <c r="O809" s="25"/>
      <c r="P809" s="25"/>
      <c r="Q809" s="25"/>
      <c r="R809" s="25"/>
      <c r="S809" s="26">
        <v>44712</v>
      </c>
      <c r="T809" s="26">
        <v>44774</v>
      </c>
      <c r="U809" s="25" t="s">
        <v>2261</v>
      </c>
      <c r="V809" s="25"/>
      <c r="W809" s="59" t="s">
        <v>3088</v>
      </c>
      <c r="X809" s="25" t="s">
        <v>3089</v>
      </c>
      <c r="Y809" s="25"/>
      <c r="Z809" s="25"/>
      <c r="AA809" s="40"/>
      <c r="AB809" s="40"/>
      <c r="AC809" s="25" t="str">
        <f>TRIM(StudentScore[[#This Row],[Student Email]])</f>
        <v>nakarin.pho@student.mahidol.ac.th</v>
      </c>
    </row>
    <row r="810" spans="1:29" ht="27">
      <c r="A810" s="15"/>
      <c r="B810" s="27">
        <f t="shared" si="42"/>
        <v>65</v>
      </c>
      <c r="C810" s="27">
        <f t="shared" si="43"/>
        <v>2025</v>
      </c>
      <c r="D810" s="54"/>
      <c r="E810" s="19">
        <v>6588071</v>
      </c>
      <c r="F810" s="20" t="s">
        <v>117</v>
      </c>
      <c r="G810" s="20" t="s">
        <v>3090</v>
      </c>
      <c r="H810" s="32" t="s">
        <v>3091</v>
      </c>
      <c r="I810" s="25" t="s">
        <v>64</v>
      </c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59" t="s">
        <v>3092</v>
      </c>
      <c r="X810" s="25" t="s">
        <v>3093</v>
      </c>
      <c r="Y810" s="25"/>
      <c r="Z810" s="25"/>
      <c r="AA810" s="40"/>
      <c r="AB810" s="40"/>
      <c r="AC810" s="25" t="str">
        <f>TRIM(StudentScore[[#This Row],[Student Email]])</f>
        <v>thareerat.pho@student.mahidol.ac.th</v>
      </c>
    </row>
    <row r="811" spans="1:29" ht="27">
      <c r="A811" s="15"/>
      <c r="B811" s="27">
        <f t="shared" si="42"/>
        <v>65</v>
      </c>
      <c r="C811" s="27">
        <f t="shared" si="43"/>
        <v>2025</v>
      </c>
      <c r="D811" s="54"/>
      <c r="E811" s="19">
        <v>6588072</v>
      </c>
      <c r="F811" s="20" t="s">
        <v>38</v>
      </c>
      <c r="G811" s="20" t="s">
        <v>3094</v>
      </c>
      <c r="H811" s="32" t="s">
        <v>3095</v>
      </c>
      <c r="I811" s="25" t="s">
        <v>64</v>
      </c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59" t="s">
        <v>3096</v>
      </c>
      <c r="X811" s="25" t="s">
        <v>3097</v>
      </c>
      <c r="Y811" s="25"/>
      <c r="Z811" s="25"/>
      <c r="AA811" s="40"/>
      <c r="AB811" s="40"/>
      <c r="AC811" s="25" t="str">
        <f>TRIM(StudentScore[[#This Row],[Student Email]])</f>
        <v>phakphop.phu@student.mahidol.ac.th</v>
      </c>
    </row>
    <row r="812" spans="1:29" ht="27">
      <c r="A812" s="15"/>
      <c r="B812" s="27">
        <f t="shared" si="42"/>
        <v>65</v>
      </c>
      <c r="C812" s="27">
        <f t="shared" si="43"/>
        <v>2025</v>
      </c>
      <c r="D812" s="54"/>
      <c r="E812" s="19">
        <v>6588073</v>
      </c>
      <c r="F812" s="20" t="s">
        <v>38</v>
      </c>
      <c r="G812" s="20" t="s">
        <v>3098</v>
      </c>
      <c r="H812" s="32" t="s">
        <v>3099</v>
      </c>
      <c r="I812" s="25" t="s">
        <v>64</v>
      </c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59" t="s">
        <v>3100</v>
      </c>
      <c r="X812" s="25" t="s">
        <v>3101</v>
      </c>
      <c r="Y812" s="25"/>
      <c r="Z812" s="25"/>
      <c r="AA812" s="40"/>
      <c r="AB812" s="40"/>
      <c r="AC812" s="25" t="str">
        <f>TRIM(StudentScore[[#This Row],[Student Email]])</f>
        <v>nattapat.pin@student.mahidol.ac.th</v>
      </c>
    </row>
    <row r="813" spans="1:29" ht="27">
      <c r="A813" s="15"/>
      <c r="B813" s="27">
        <f t="shared" si="42"/>
        <v>65</v>
      </c>
      <c r="C813" s="27">
        <f t="shared" si="43"/>
        <v>2025</v>
      </c>
      <c r="D813" s="54"/>
      <c r="E813" s="19">
        <v>6588074</v>
      </c>
      <c r="F813" s="20" t="s">
        <v>117</v>
      </c>
      <c r="G813" s="20" t="s">
        <v>3102</v>
      </c>
      <c r="H813" s="32" t="s">
        <v>3103</v>
      </c>
      <c r="I813" s="25" t="s">
        <v>64</v>
      </c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59" t="s">
        <v>3104</v>
      </c>
      <c r="X813" s="25" t="s">
        <v>3105</v>
      </c>
      <c r="Y813" s="25"/>
      <c r="Z813" s="25"/>
      <c r="AA813" s="40"/>
      <c r="AB813" s="40"/>
      <c r="AC813" s="25" t="str">
        <f>TRIM(StudentScore[[#This Row],[Student Email]])</f>
        <v>pathu.pip@student.mahidol.ac.th</v>
      </c>
    </row>
    <row r="814" spans="1:29" ht="27">
      <c r="A814" s="15"/>
      <c r="B814" s="27">
        <f t="shared" si="42"/>
        <v>65</v>
      </c>
      <c r="C814" s="27">
        <f t="shared" si="43"/>
        <v>2025</v>
      </c>
      <c r="D814" s="54"/>
      <c r="E814" s="19">
        <v>6588075</v>
      </c>
      <c r="F814" s="20" t="s">
        <v>38</v>
      </c>
      <c r="G814" s="20" t="s">
        <v>753</v>
      </c>
      <c r="H814" s="32" t="s">
        <v>3106</v>
      </c>
      <c r="I814" s="25" t="s">
        <v>64</v>
      </c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59" t="s">
        <v>3107</v>
      </c>
      <c r="X814" s="25" t="s">
        <v>3108</v>
      </c>
      <c r="Y814" s="25"/>
      <c r="Z814" s="25"/>
      <c r="AA814" s="40"/>
      <c r="AB814" s="40"/>
      <c r="AC814" s="25" t="str">
        <f>TRIM(StudentScore[[#This Row],[Student Email]])</f>
        <v>sorawit.pir@student.mahidol.ac.th</v>
      </c>
    </row>
    <row r="815" spans="1:29" ht="27">
      <c r="A815" s="15"/>
      <c r="B815" s="27">
        <f t="shared" si="42"/>
        <v>65</v>
      </c>
      <c r="C815" s="27">
        <f t="shared" si="43"/>
        <v>2025</v>
      </c>
      <c r="D815" s="54"/>
      <c r="E815" s="19">
        <v>6588076</v>
      </c>
      <c r="F815" s="20" t="s">
        <v>38</v>
      </c>
      <c r="G815" s="20" t="s">
        <v>3109</v>
      </c>
      <c r="H815" s="32" t="s">
        <v>2419</v>
      </c>
      <c r="I815" s="25" t="s">
        <v>64</v>
      </c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59" t="s">
        <v>3110</v>
      </c>
      <c r="X815" s="25" t="s">
        <v>3111</v>
      </c>
      <c r="Y815" s="25"/>
      <c r="Z815" s="25"/>
      <c r="AA815" s="40"/>
      <c r="AB815" s="40"/>
      <c r="AC815" s="25" t="str">
        <f>TRIM(StudentScore[[#This Row],[Student Email]])</f>
        <v>peesama.poh@student.mahidol.ac.th</v>
      </c>
    </row>
    <row r="816" spans="1:29" ht="27">
      <c r="A816" s="15"/>
      <c r="B816" s="27">
        <f t="shared" si="42"/>
        <v>65</v>
      </c>
      <c r="C816" s="27">
        <f t="shared" si="43"/>
        <v>2025</v>
      </c>
      <c r="D816" s="54"/>
      <c r="E816" s="19">
        <v>6588077</v>
      </c>
      <c r="F816" s="20" t="s">
        <v>38</v>
      </c>
      <c r="G816" s="20" t="s">
        <v>3112</v>
      </c>
      <c r="H816" s="32" t="s">
        <v>3113</v>
      </c>
      <c r="I816" s="25" t="s">
        <v>53</v>
      </c>
      <c r="J816" s="25">
        <v>90</v>
      </c>
      <c r="K816" s="25">
        <v>39</v>
      </c>
      <c r="L816" s="25">
        <v>51</v>
      </c>
      <c r="M816" s="25"/>
      <c r="N816" s="25"/>
      <c r="O816" s="25"/>
      <c r="P816" s="25"/>
      <c r="Q816" s="25"/>
      <c r="R816" s="25"/>
      <c r="S816" s="26">
        <v>44736</v>
      </c>
      <c r="T816" s="51">
        <v>44774</v>
      </c>
      <c r="U816" s="25"/>
      <c r="V816" s="25"/>
      <c r="W816" s="59" t="s">
        <v>3114</v>
      </c>
      <c r="X816" s="25" t="s">
        <v>3115</v>
      </c>
      <c r="Y816" s="42">
        <v>44789.375625000001</v>
      </c>
      <c r="Z816" s="28" t="s">
        <v>3116</v>
      </c>
      <c r="AA816" s="40"/>
      <c r="AB816" s="40"/>
      <c r="AC816" s="25" t="str">
        <f>TRIM(StudentScore[[#This Row],[Student Email]])</f>
        <v>suppakorn.poj@student.mahidol.ac.th</v>
      </c>
    </row>
    <row r="817" spans="1:29" ht="27">
      <c r="A817" s="15"/>
      <c r="B817" s="27">
        <f t="shared" si="42"/>
        <v>65</v>
      </c>
      <c r="C817" s="27">
        <f t="shared" si="43"/>
        <v>2025</v>
      </c>
      <c r="D817" s="54"/>
      <c r="E817" s="19">
        <v>6588078</v>
      </c>
      <c r="F817" s="20" t="s">
        <v>38</v>
      </c>
      <c r="G817" s="20" t="s">
        <v>3117</v>
      </c>
      <c r="H817" s="32" t="s">
        <v>3118</v>
      </c>
      <c r="I817" s="25" t="s">
        <v>41</v>
      </c>
      <c r="J817" s="25">
        <v>583</v>
      </c>
      <c r="K817" s="25">
        <v>58</v>
      </c>
      <c r="L817" s="25">
        <v>57</v>
      </c>
      <c r="M817" s="25">
        <v>60</v>
      </c>
      <c r="N817" s="25"/>
      <c r="O817" s="25"/>
      <c r="P817" s="25"/>
      <c r="Q817" s="25"/>
      <c r="R817" s="25"/>
      <c r="S817" s="26">
        <v>44712</v>
      </c>
      <c r="T817" s="26">
        <v>44774</v>
      </c>
      <c r="U817" s="25" t="s">
        <v>2261</v>
      </c>
      <c r="V817" s="25"/>
      <c r="W817" s="59" t="s">
        <v>3119</v>
      </c>
      <c r="X817" s="25" t="s">
        <v>3120</v>
      </c>
      <c r="Y817" s="25"/>
      <c r="Z817" s="25"/>
      <c r="AA817" s="40"/>
      <c r="AB817" s="40"/>
      <c r="AC817" s="25" t="str">
        <f>TRIM(StudentScore[[#This Row],[Student Email]])</f>
        <v>chaiyakrit.pok@student.mahidol.ac.th</v>
      </c>
    </row>
    <row r="818" spans="1:29" ht="27">
      <c r="A818" s="15"/>
      <c r="B818" s="27">
        <f t="shared" si="42"/>
        <v>65</v>
      </c>
      <c r="C818" s="27">
        <f t="shared" si="43"/>
        <v>2025</v>
      </c>
      <c r="D818" s="54"/>
      <c r="E818" s="19">
        <v>6588079</v>
      </c>
      <c r="F818" s="20" t="s">
        <v>38</v>
      </c>
      <c r="G818" s="20" t="s">
        <v>3121</v>
      </c>
      <c r="H818" s="32" t="s">
        <v>3122</v>
      </c>
      <c r="I818" s="25" t="s">
        <v>64</v>
      </c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59" t="s">
        <v>3123</v>
      </c>
      <c r="X818" s="25" t="s">
        <v>3124</v>
      </c>
      <c r="Y818" s="25"/>
      <c r="Z818" s="25"/>
      <c r="AA818" s="40"/>
      <c r="AB818" s="40"/>
      <c r="AC818" s="25" t="str">
        <f>TRIM(StudentScore[[#This Row],[Student Email]])</f>
        <v>poottapol.poo@student.mahidol.ac.th</v>
      </c>
    </row>
    <row r="819" spans="1:29" ht="27">
      <c r="A819" s="15"/>
      <c r="B819" s="27">
        <f t="shared" si="42"/>
        <v>65</v>
      </c>
      <c r="C819" s="27">
        <f t="shared" si="43"/>
        <v>2025</v>
      </c>
      <c r="D819" s="54"/>
      <c r="E819" s="19">
        <v>6588080</v>
      </c>
      <c r="F819" s="20" t="s">
        <v>117</v>
      </c>
      <c r="G819" s="20" t="s">
        <v>3125</v>
      </c>
      <c r="H819" s="32" t="s">
        <v>3126</v>
      </c>
      <c r="I819" s="25" t="s">
        <v>244</v>
      </c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59" t="s">
        <v>3127</v>
      </c>
      <c r="X819" s="25" t="s">
        <v>3128</v>
      </c>
      <c r="Y819" s="25"/>
      <c r="Z819" s="25"/>
      <c r="AA819" s="40"/>
      <c r="AB819" s="40"/>
      <c r="AC819" s="25" t="str">
        <f>TRIM(StudentScore[[#This Row],[Student Email]])</f>
        <v>tipparat.por@student.mahidol.ac.th</v>
      </c>
    </row>
    <row r="820" spans="1:29" ht="27">
      <c r="A820" s="15"/>
      <c r="B820" s="27">
        <f t="shared" si="42"/>
        <v>65</v>
      </c>
      <c r="C820" s="27">
        <f t="shared" si="43"/>
        <v>2025</v>
      </c>
      <c r="D820" s="54"/>
      <c r="E820" s="19">
        <v>6588081</v>
      </c>
      <c r="F820" s="20" t="s">
        <v>117</v>
      </c>
      <c r="G820" s="20" t="s">
        <v>3129</v>
      </c>
      <c r="H820" s="32" t="s">
        <v>3130</v>
      </c>
      <c r="I820" s="25" t="s">
        <v>41</v>
      </c>
      <c r="J820" s="25">
        <v>607</v>
      </c>
      <c r="K820" s="25">
        <v>66</v>
      </c>
      <c r="L820" s="25">
        <v>59</v>
      </c>
      <c r="M820" s="25">
        <v>57</v>
      </c>
      <c r="N820" s="25"/>
      <c r="O820" s="25"/>
      <c r="P820" s="25"/>
      <c r="Q820" s="25"/>
      <c r="R820" s="25"/>
      <c r="S820" s="26">
        <v>44712</v>
      </c>
      <c r="T820" s="26">
        <v>44774</v>
      </c>
      <c r="U820" s="25" t="s">
        <v>2261</v>
      </c>
      <c r="V820" s="25"/>
      <c r="W820" s="59" t="s">
        <v>3131</v>
      </c>
      <c r="X820" s="25" t="s">
        <v>3132</v>
      </c>
      <c r="Y820" s="25"/>
      <c r="Z820" s="25"/>
      <c r="AA820" s="40"/>
      <c r="AB820" s="40"/>
      <c r="AC820" s="25" t="str">
        <f>TRIM(StudentScore[[#This Row],[Student Email]])</f>
        <v>phanphum.pra@student.mahidol.ac.th</v>
      </c>
    </row>
    <row r="821" spans="1:29" ht="27">
      <c r="A821" s="15"/>
      <c r="B821" s="27">
        <f t="shared" si="42"/>
        <v>65</v>
      </c>
      <c r="C821" s="27">
        <f t="shared" si="43"/>
        <v>2025</v>
      </c>
      <c r="D821" s="54"/>
      <c r="E821" s="19">
        <v>6588082</v>
      </c>
      <c r="F821" s="20" t="s">
        <v>38</v>
      </c>
      <c r="G821" s="20" t="s">
        <v>3133</v>
      </c>
      <c r="H821" s="32" t="s">
        <v>3134</v>
      </c>
      <c r="I821" s="25" t="s">
        <v>64</v>
      </c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59" t="s">
        <v>3135</v>
      </c>
      <c r="X821" s="25" t="s">
        <v>3136</v>
      </c>
      <c r="Y821" s="25"/>
      <c r="Z821" s="25"/>
      <c r="AA821" s="40"/>
      <c r="AB821" s="40"/>
      <c r="AC821" s="25" t="str">
        <f>TRIM(StudentScore[[#This Row],[Student Email]])</f>
        <v>punnavit.ama@student.mahidol.ac.th</v>
      </c>
    </row>
    <row r="822" spans="1:29" ht="27">
      <c r="A822" s="15"/>
      <c r="B822" s="27">
        <f t="shared" si="42"/>
        <v>65</v>
      </c>
      <c r="C822" s="27">
        <f t="shared" si="43"/>
        <v>2025</v>
      </c>
      <c r="D822" s="54"/>
      <c r="E822" s="19">
        <v>6588083</v>
      </c>
      <c r="F822" s="20" t="s">
        <v>38</v>
      </c>
      <c r="G822" s="20" t="s">
        <v>3137</v>
      </c>
      <c r="H822" s="32" t="s">
        <v>3138</v>
      </c>
      <c r="I822" s="25" t="s">
        <v>64</v>
      </c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59" t="s">
        <v>3139</v>
      </c>
      <c r="X822" s="25" t="s">
        <v>3140</v>
      </c>
      <c r="Y822" s="25"/>
      <c r="Z822" s="25"/>
      <c r="AA822" s="40"/>
      <c r="AB822" s="40"/>
      <c r="AC822" s="25" t="str">
        <f>TRIM(StudentScore[[#This Row],[Student Email]])</f>
        <v>tanasub.rat@student.mahidol.ac.th</v>
      </c>
    </row>
    <row r="823" spans="1:29" ht="27">
      <c r="A823" s="15"/>
      <c r="B823" s="27">
        <f t="shared" si="42"/>
        <v>65</v>
      </c>
      <c r="C823" s="27">
        <f t="shared" si="43"/>
        <v>2025</v>
      </c>
      <c r="D823" s="54"/>
      <c r="E823" s="19">
        <v>6588084</v>
      </c>
      <c r="F823" s="20" t="s">
        <v>38</v>
      </c>
      <c r="G823" s="20" t="s">
        <v>3141</v>
      </c>
      <c r="H823" s="32" t="s">
        <v>3142</v>
      </c>
      <c r="I823" s="25" t="s">
        <v>64</v>
      </c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59" t="s">
        <v>3143</v>
      </c>
      <c r="X823" s="25" t="s">
        <v>3144</v>
      </c>
      <c r="Y823" s="25"/>
      <c r="Z823" s="25"/>
      <c r="AA823" s="40"/>
      <c r="AB823" s="40"/>
      <c r="AC823" s="25" t="str">
        <f>TRIM(StudentScore[[#This Row],[Student Email]])</f>
        <v>chawanakorn.rit@student.mahidol.ac.th</v>
      </c>
    </row>
    <row r="824" spans="1:29" ht="27">
      <c r="A824" s="15"/>
      <c r="B824" s="27">
        <f t="shared" si="42"/>
        <v>65</v>
      </c>
      <c r="C824" s="27">
        <f t="shared" si="43"/>
        <v>2025</v>
      </c>
      <c r="D824" s="54"/>
      <c r="E824" s="19">
        <v>6588085</v>
      </c>
      <c r="F824" s="20" t="s">
        <v>117</v>
      </c>
      <c r="G824" s="20" t="s">
        <v>3145</v>
      </c>
      <c r="H824" s="32" t="s">
        <v>3146</v>
      </c>
      <c r="I824" s="25" t="s">
        <v>64</v>
      </c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59" t="s">
        <v>3147</v>
      </c>
      <c r="X824" s="25" t="s">
        <v>3148</v>
      </c>
      <c r="Y824" s="25"/>
      <c r="Z824" s="25"/>
      <c r="AA824" s="40"/>
      <c r="AB824" s="40"/>
      <c r="AC824" s="25" t="str">
        <f>TRIM(StudentScore[[#This Row],[Student Email]])</f>
        <v>atichanan.rod@student.mahidol.ac.th</v>
      </c>
    </row>
    <row r="825" spans="1:29" ht="27">
      <c r="A825" s="15"/>
      <c r="B825" s="27">
        <f t="shared" si="42"/>
        <v>65</v>
      </c>
      <c r="C825" s="27">
        <f t="shared" si="43"/>
        <v>2025</v>
      </c>
      <c r="D825" s="54"/>
      <c r="E825" s="19">
        <v>6588086</v>
      </c>
      <c r="F825" s="20" t="s">
        <v>38</v>
      </c>
      <c r="G825" s="20" t="s">
        <v>3149</v>
      </c>
      <c r="H825" s="32" t="s">
        <v>3150</v>
      </c>
      <c r="I825" s="25" t="s">
        <v>41</v>
      </c>
      <c r="J825" s="25">
        <v>597</v>
      </c>
      <c r="K825" s="25">
        <v>59</v>
      </c>
      <c r="L825" s="25">
        <v>62</v>
      </c>
      <c r="M825" s="25">
        <v>58</v>
      </c>
      <c r="N825" s="25"/>
      <c r="O825" s="25"/>
      <c r="P825" s="25"/>
      <c r="Q825" s="25"/>
      <c r="R825" s="25"/>
      <c r="S825" s="26">
        <v>44712</v>
      </c>
      <c r="T825" s="26">
        <v>44774</v>
      </c>
      <c r="U825" s="25" t="s">
        <v>2261</v>
      </c>
      <c r="V825" s="25"/>
      <c r="W825" s="59" t="s">
        <v>3151</v>
      </c>
      <c r="X825" s="25" t="s">
        <v>3152</v>
      </c>
      <c r="Y825" s="25"/>
      <c r="Z825" s="25"/>
      <c r="AA825" s="40"/>
      <c r="AB825" s="40"/>
      <c r="AC825" s="25" t="str">
        <f>TRIM(StudentScore[[#This Row],[Student Email]])</f>
        <v>anavinn.ruj@student.mahidol.ac.th</v>
      </c>
    </row>
    <row r="826" spans="1:29" ht="27">
      <c r="A826" s="15"/>
      <c r="B826" s="27">
        <f t="shared" si="42"/>
        <v>65</v>
      </c>
      <c r="C826" s="27">
        <f t="shared" si="43"/>
        <v>2025</v>
      </c>
      <c r="D826" s="54"/>
      <c r="E826" s="19">
        <v>6588087</v>
      </c>
      <c r="F826" s="20" t="s">
        <v>117</v>
      </c>
      <c r="G826" s="20" t="s">
        <v>3153</v>
      </c>
      <c r="H826" s="32" t="s">
        <v>3154</v>
      </c>
      <c r="I826" s="25" t="s">
        <v>64</v>
      </c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59" t="s">
        <v>3155</v>
      </c>
      <c r="X826" s="25" t="s">
        <v>3156</v>
      </c>
      <c r="Y826" s="25"/>
      <c r="Z826" s="25"/>
      <c r="AA826" s="40"/>
      <c r="AB826" s="40"/>
      <c r="AC826" s="25" t="str">
        <f>TRIM(StudentScore[[#This Row],[Student Email]])</f>
        <v>yaowapa.sab@student.mahidol.ac.th</v>
      </c>
    </row>
    <row r="827" spans="1:29" ht="27">
      <c r="A827" s="15"/>
      <c r="B827" s="27">
        <f t="shared" si="42"/>
        <v>65</v>
      </c>
      <c r="C827" s="27">
        <f t="shared" si="43"/>
        <v>2025</v>
      </c>
      <c r="D827" s="54"/>
      <c r="E827" s="19">
        <v>6588088</v>
      </c>
      <c r="F827" s="20" t="s">
        <v>38</v>
      </c>
      <c r="G827" s="20" t="s">
        <v>3157</v>
      </c>
      <c r="H827" s="32" t="s">
        <v>3158</v>
      </c>
      <c r="I827" s="25" t="s">
        <v>41</v>
      </c>
      <c r="J827" s="25">
        <v>540</v>
      </c>
      <c r="K827" s="25">
        <v>52</v>
      </c>
      <c r="L827" s="25">
        <v>58</v>
      </c>
      <c r="M827" s="25">
        <v>52</v>
      </c>
      <c r="N827" s="25"/>
      <c r="O827" s="25"/>
      <c r="P827" s="25"/>
      <c r="Q827" s="25"/>
      <c r="R827" s="25"/>
      <c r="S827" s="26">
        <v>44712</v>
      </c>
      <c r="T827" s="26">
        <v>44774</v>
      </c>
      <c r="U827" s="25" t="s">
        <v>2261</v>
      </c>
      <c r="V827" s="25"/>
      <c r="W827" s="59" t="s">
        <v>3159</v>
      </c>
      <c r="X827" s="25" t="s">
        <v>3160</v>
      </c>
      <c r="Y827" s="25"/>
      <c r="Z827" s="25"/>
      <c r="AA827" s="40"/>
      <c r="AB827" s="40"/>
      <c r="AC827" s="25" t="str">
        <f>TRIM(StudentScore[[#This Row],[Student Email]])</f>
        <v>eakbodin.sal@student.mahidol.ac.th</v>
      </c>
    </row>
    <row r="828" spans="1:29" ht="27">
      <c r="A828" s="15"/>
      <c r="B828" s="27">
        <f t="shared" si="42"/>
        <v>65</v>
      </c>
      <c r="C828" s="27">
        <f t="shared" si="43"/>
        <v>2025</v>
      </c>
      <c r="D828" s="54"/>
      <c r="E828" s="19">
        <v>6588089</v>
      </c>
      <c r="F828" s="20" t="s">
        <v>38</v>
      </c>
      <c r="G828" s="20" t="s">
        <v>3161</v>
      </c>
      <c r="H828" s="32" t="s">
        <v>3162</v>
      </c>
      <c r="I828" s="25" t="s">
        <v>64</v>
      </c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59" t="s">
        <v>3163</v>
      </c>
      <c r="X828" s="25" t="s">
        <v>3164</v>
      </c>
      <c r="Y828" s="25"/>
      <c r="Z828" s="25"/>
      <c r="AA828" s="40"/>
      <c r="AB828" s="40"/>
      <c r="AC828" s="25" t="str">
        <f>TRIM(StudentScore[[#This Row],[Student Email]])</f>
        <v>thana.san@student.mahidol.ac.th</v>
      </c>
    </row>
    <row r="829" spans="1:29" ht="27">
      <c r="A829" s="15"/>
      <c r="B829" s="27">
        <f t="shared" si="42"/>
        <v>65</v>
      </c>
      <c r="C829" s="27">
        <f t="shared" si="43"/>
        <v>2025</v>
      </c>
      <c r="D829" s="54"/>
      <c r="E829" s="19">
        <v>6588090</v>
      </c>
      <c r="F829" s="20" t="s">
        <v>38</v>
      </c>
      <c r="G829" s="20" t="s">
        <v>3165</v>
      </c>
      <c r="H829" s="32" t="s">
        <v>3166</v>
      </c>
      <c r="I829" s="25" t="s">
        <v>64</v>
      </c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59" t="s">
        <v>3167</v>
      </c>
      <c r="X829" s="25" t="s">
        <v>3168</v>
      </c>
      <c r="Y829" s="25"/>
      <c r="Z829" s="25"/>
      <c r="AA829" s="40"/>
      <c r="AB829" s="40"/>
      <c r="AC829" s="25" t="str">
        <f>TRIM(StudentScore[[#This Row],[Student Email]])</f>
        <v>yotsawan.san@student.mahidol.ac.th</v>
      </c>
    </row>
    <row r="830" spans="1:29" ht="27">
      <c r="A830" s="15"/>
      <c r="B830" s="27">
        <f t="shared" si="42"/>
        <v>65</v>
      </c>
      <c r="C830" s="27">
        <f t="shared" si="43"/>
        <v>2025</v>
      </c>
      <c r="D830" s="54"/>
      <c r="E830" s="19">
        <v>6588091</v>
      </c>
      <c r="F830" s="20" t="s">
        <v>38</v>
      </c>
      <c r="G830" s="20" t="s">
        <v>3169</v>
      </c>
      <c r="H830" s="32" t="s">
        <v>3170</v>
      </c>
      <c r="I830" s="25" t="s">
        <v>41</v>
      </c>
      <c r="J830" s="25">
        <v>583</v>
      </c>
      <c r="K830" s="25">
        <v>64</v>
      </c>
      <c r="L830" s="25">
        <v>58</v>
      </c>
      <c r="M830" s="25">
        <v>53</v>
      </c>
      <c r="N830" s="25"/>
      <c r="O830" s="25"/>
      <c r="P830" s="25"/>
      <c r="Q830" s="25"/>
      <c r="R830" s="25"/>
      <c r="S830" s="26">
        <v>44712</v>
      </c>
      <c r="T830" s="26">
        <v>44774</v>
      </c>
      <c r="U830" s="25" t="s">
        <v>2261</v>
      </c>
      <c r="V830" s="25"/>
      <c r="W830" s="59" t="s">
        <v>3171</v>
      </c>
      <c r="X830" s="25" t="s">
        <v>3172</v>
      </c>
      <c r="Y830" s="25"/>
      <c r="Z830" s="25"/>
      <c r="AA830" s="40"/>
      <c r="AB830" s="40"/>
      <c r="AC830" s="25" t="str">
        <f>TRIM(StudentScore[[#This Row],[Student Email]])</f>
        <v>veerapat.san@student.mahidol.ac.th</v>
      </c>
    </row>
    <row r="831" spans="1:29" ht="27">
      <c r="A831" s="15"/>
      <c r="B831" s="27">
        <f t="shared" si="42"/>
        <v>65</v>
      </c>
      <c r="C831" s="27">
        <f t="shared" si="43"/>
        <v>2025</v>
      </c>
      <c r="D831" s="54"/>
      <c r="E831" s="19">
        <v>6588092</v>
      </c>
      <c r="F831" s="20" t="s">
        <v>117</v>
      </c>
      <c r="G831" s="20" t="s">
        <v>3173</v>
      </c>
      <c r="H831" s="32" t="s">
        <v>3174</v>
      </c>
      <c r="I831" s="25" t="s">
        <v>53</v>
      </c>
      <c r="J831" s="25">
        <v>93</v>
      </c>
      <c r="K831" s="25">
        <v>47</v>
      </c>
      <c r="L831" s="25">
        <v>46</v>
      </c>
      <c r="M831" s="25"/>
      <c r="N831" s="25"/>
      <c r="O831" s="25"/>
      <c r="P831" s="25"/>
      <c r="Q831" s="25"/>
      <c r="R831" s="25"/>
      <c r="S831" s="26">
        <v>44975</v>
      </c>
      <c r="T831" s="35">
        <v>45006</v>
      </c>
      <c r="U831" s="25"/>
      <c r="V831" s="25"/>
      <c r="W831" s="59" t="s">
        <v>3175</v>
      </c>
      <c r="X831" s="25" t="s">
        <v>3176</v>
      </c>
      <c r="Y831" s="42">
        <v>45006.693553240744</v>
      </c>
      <c r="Z831" s="25" t="s">
        <v>3177</v>
      </c>
      <c r="AA831" s="40"/>
      <c r="AB831" s="40"/>
      <c r="AC831" s="25" t="str">
        <f>TRIM(StudentScore[[#This Row],[Student Email]])</f>
        <v>sirinapat.san@student.mahidol.ac.th</v>
      </c>
    </row>
    <row r="832" spans="1:29" ht="27">
      <c r="A832" s="15"/>
      <c r="B832" s="27">
        <f t="shared" si="42"/>
        <v>65</v>
      </c>
      <c r="C832" s="27">
        <f t="shared" si="43"/>
        <v>2025</v>
      </c>
      <c r="D832" s="54"/>
      <c r="E832" s="19">
        <v>6588093</v>
      </c>
      <c r="F832" s="20" t="s">
        <v>38</v>
      </c>
      <c r="G832" s="20" t="s">
        <v>3178</v>
      </c>
      <c r="H832" s="32" t="s">
        <v>3179</v>
      </c>
      <c r="I832" s="25" t="s">
        <v>64</v>
      </c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59" t="s">
        <v>3180</v>
      </c>
      <c r="X832" s="25" t="s">
        <v>3181</v>
      </c>
      <c r="Y832" s="25"/>
      <c r="Z832" s="25"/>
      <c r="AA832" s="40"/>
      <c r="AB832" s="40"/>
      <c r="AC832" s="25" t="str">
        <f>TRIM(StudentScore[[#This Row],[Student Email]])</f>
        <v>kueakul.sar@student.mahidol.ac.th</v>
      </c>
    </row>
    <row r="833" spans="1:29" ht="27">
      <c r="A833" s="15"/>
      <c r="B833" s="27">
        <f t="shared" si="42"/>
        <v>65</v>
      </c>
      <c r="C833" s="27">
        <f t="shared" si="43"/>
        <v>2025</v>
      </c>
      <c r="D833" s="54"/>
      <c r="E833" s="19">
        <v>6588094</v>
      </c>
      <c r="F833" s="20" t="s">
        <v>117</v>
      </c>
      <c r="G833" s="20" t="s">
        <v>3182</v>
      </c>
      <c r="H833" s="32" t="s">
        <v>3183</v>
      </c>
      <c r="I833" s="25" t="s">
        <v>64</v>
      </c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59" t="s">
        <v>3184</v>
      </c>
      <c r="X833" s="25" t="s">
        <v>3185</v>
      </c>
      <c r="Y833" s="25"/>
      <c r="Z833" s="25"/>
      <c r="AA833" s="40"/>
      <c r="AB833" s="40"/>
      <c r="AC833" s="25" t="str">
        <f>TRIM(StudentScore[[#This Row],[Student Email]])</f>
        <v>thitapha.sin@student.mahidol.ac.th</v>
      </c>
    </row>
    <row r="834" spans="1:29" ht="27">
      <c r="A834" s="15"/>
      <c r="B834" s="27">
        <f t="shared" si="42"/>
        <v>65</v>
      </c>
      <c r="C834" s="27">
        <f t="shared" si="43"/>
        <v>2025</v>
      </c>
      <c r="D834" s="54"/>
      <c r="E834" s="19">
        <v>6588095</v>
      </c>
      <c r="F834" s="20" t="s">
        <v>38</v>
      </c>
      <c r="G834" s="20" t="s">
        <v>2097</v>
      </c>
      <c r="H834" s="32" t="s">
        <v>3186</v>
      </c>
      <c r="I834" s="25" t="s">
        <v>64</v>
      </c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59" t="s">
        <v>3187</v>
      </c>
      <c r="X834" s="25" t="s">
        <v>3188</v>
      </c>
      <c r="Y834" s="25"/>
      <c r="Z834" s="25"/>
      <c r="AA834" s="40"/>
      <c r="AB834" s="40"/>
      <c r="AC834" s="25" t="str">
        <f>TRIM(StudentScore[[#This Row],[Student Email]])</f>
        <v>kong.sit@student.mahidol.ac.th</v>
      </c>
    </row>
    <row r="835" spans="1:29" ht="27">
      <c r="A835" s="15"/>
      <c r="B835" s="27">
        <f t="shared" si="42"/>
        <v>65</v>
      </c>
      <c r="C835" s="27">
        <f t="shared" si="43"/>
        <v>2025</v>
      </c>
      <c r="D835" s="54"/>
      <c r="E835" s="19">
        <v>6588096</v>
      </c>
      <c r="F835" s="20" t="s">
        <v>117</v>
      </c>
      <c r="G835" s="20" t="s">
        <v>3189</v>
      </c>
      <c r="H835" s="32" t="s">
        <v>3190</v>
      </c>
      <c r="I835" s="25" t="s">
        <v>214</v>
      </c>
      <c r="J835" s="25">
        <v>110</v>
      </c>
      <c r="K835" s="25"/>
      <c r="L835" s="25"/>
      <c r="M835" s="25"/>
      <c r="N835" s="25"/>
      <c r="O835" s="25">
        <v>110</v>
      </c>
      <c r="P835" s="25">
        <v>105</v>
      </c>
      <c r="Q835" s="25">
        <v>115</v>
      </c>
      <c r="R835" s="25">
        <v>85</v>
      </c>
      <c r="S835" s="26">
        <v>44904</v>
      </c>
      <c r="T835" s="26">
        <v>44908</v>
      </c>
      <c r="U835" s="25"/>
      <c r="V835" s="25"/>
      <c r="W835" s="59" t="s">
        <v>3191</v>
      </c>
      <c r="X835" s="25" t="s">
        <v>3192</v>
      </c>
      <c r="Y835" s="42">
        <v>44908.448194444441</v>
      </c>
      <c r="Z835" s="25" t="s">
        <v>3193</v>
      </c>
      <c r="AA835" s="40"/>
      <c r="AB835" s="40"/>
      <c r="AC835" s="25" t="str">
        <f>TRIM(StudentScore[[#This Row],[Student Email]])</f>
        <v>panipak.sii@student.mahidol.ac.th</v>
      </c>
    </row>
    <row r="836" spans="1:29" ht="27">
      <c r="A836" s="15"/>
      <c r="B836" s="27">
        <f t="shared" si="42"/>
        <v>65</v>
      </c>
      <c r="C836" s="27">
        <f t="shared" si="43"/>
        <v>2025</v>
      </c>
      <c r="D836" s="54"/>
      <c r="E836" s="19">
        <v>6588097</v>
      </c>
      <c r="F836" s="20" t="s">
        <v>38</v>
      </c>
      <c r="G836" s="20" t="s">
        <v>3194</v>
      </c>
      <c r="H836" s="32" t="s">
        <v>3195</v>
      </c>
      <c r="I836" s="25" t="s">
        <v>214</v>
      </c>
      <c r="J836" s="25">
        <v>95</v>
      </c>
      <c r="K836" s="25"/>
      <c r="L836" s="25"/>
      <c r="M836" s="25"/>
      <c r="N836" s="25"/>
      <c r="O836" s="25">
        <v>90</v>
      </c>
      <c r="P836" s="25">
        <v>90</v>
      </c>
      <c r="Q836" s="25">
        <v>110</v>
      </c>
      <c r="R836" s="25">
        <v>65</v>
      </c>
      <c r="S836" s="26">
        <v>44898</v>
      </c>
      <c r="T836" s="35">
        <v>44901</v>
      </c>
      <c r="U836" s="25"/>
      <c r="V836" s="25"/>
      <c r="W836" s="59" t="s">
        <v>3196</v>
      </c>
      <c r="X836" s="25" t="s">
        <v>3197</v>
      </c>
      <c r="Y836" s="42">
        <v>44901.486631944441</v>
      </c>
      <c r="Z836" s="25" t="s">
        <v>3198</v>
      </c>
      <c r="AA836" s="40"/>
      <c r="AB836" s="40"/>
      <c r="AC836" s="25" t="str">
        <f>TRIM(StudentScore[[#This Row],[Student Email]])</f>
        <v>ratchabhol.son@student.mahidol.ac.th</v>
      </c>
    </row>
    <row r="837" spans="1:29" ht="27">
      <c r="A837" s="15"/>
      <c r="B837" s="27">
        <f t="shared" si="42"/>
        <v>65</v>
      </c>
      <c r="C837" s="27">
        <f t="shared" si="43"/>
        <v>2025</v>
      </c>
      <c r="D837" s="54"/>
      <c r="E837" s="19">
        <v>6588098</v>
      </c>
      <c r="F837" s="20" t="s">
        <v>117</v>
      </c>
      <c r="G837" s="20" t="s">
        <v>3199</v>
      </c>
      <c r="H837" s="32" t="s">
        <v>3200</v>
      </c>
      <c r="I837" s="25" t="s">
        <v>64</v>
      </c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59" t="s">
        <v>3201</v>
      </c>
      <c r="X837" s="25" t="s">
        <v>3202</v>
      </c>
      <c r="Y837" s="25"/>
      <c r="Z837" s="25"/>
      <c r="AA837" s="40"/>
      <c r="AB837" s="40"/>
      <c r="AC837" s="25" t="str">
        <f>TRIM(StudentScore[[#This Row],[Student Email]])</f>
        <v>napassawan.soj@student.mahidol.ac.th</v>
      </c>
    </row>
    <row r="838" spans="1:29" ht="27">
      <c r="A838" s="15"/>
      <c r="B838" s="27">
        <f t="shared" si="42"/>
        <v>65</v>
      </c>
      <c r="C838" s="27">
        <f t="shared" si="43"/>
        <v>2025</v>
      </c>
      <c r="D838" s="54"/>
      <c r="E838" s="19">
        <v>6588099</v>
      </c>
      <c r="F838" s="20" t="s">
        <v>117</v>
      </c>
      <c r="G838" s="20" t="s">
        <v>3203</v>
      </c>
      <c r="H838" s="32" t="s">
        <v>3204</v>
      </c>
      <c r="I838" s="25" t="s">
        <v>64</v>
      </c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59" t="s">
        <v>3205</v>
      </c>
      <c r="X838" s="25" t="s">
        <v>3206</v>
      </c>
      <c r="Y838" s="25"/>
      <c r="Z838" s="25"/>
      <c r="AA838" s="40"/>
      <c r="AB838" s="40"/>
      <c r="AC838" s="25" t="str">
        <f>TRIM(StudentScore[[#This Row],[Student Email]])</f>
        <v>luxziga.sri@student.mahidol.ac.th</v>
      </c>
    </row>
    <row r="839" spans="1:29" ht="27">
      <c r="A839" s="15"/>
      <c r="B839" s="27">
        <f t="shared" ref="B839:B847" si="44">VALUE(LEFT(E839,2))</f>
        <v>65</v>
      </c>
      <c r="C839" s="27">
        <f t="shared" ref="C839:C847" si="45">VALUE("25"&amp;B839)-543+3</f>
        <v>2025</v>
      </c>
      <c r="D839" s="54"/>
      <c r="E839" s="19">
        <v>6588100</v>
      </c>
      <c r="F839" s="20" t="s">
        <v>38</v>
      </c>
      <c r="G839" s="20" t="s">
        <v>3207</v>
      </c>
      <c r="H839" s="32" t="s">
        <v>3208</v>
      </c>
      <c r="I839" s="25" t="s">
        <v>124</v>
      </c>
      <c r="J839" s="25">
        <v>6</v>
      </c>
      <c r="K839" s="25">
        <v>6.5</v>
      </c>
      <c r="L839" s="25">
        <v>6</v>
      </c>
      <c r="M839" s="25">
        <v>5.5</v>
      </c>
      <c r="N839" s="25">
        <v>5.5</v>
      </c>
      <c r="O839" s="25"/>
      <c r="P839" s="25"/>
      <c r="Q839" s="25"/>
      <c r="R839" s="25"/>
      <c r="S839" s="35">
        <v>44556</v>
      </c>
      <c r="T839" s="51">
        <v>44774</v>
      </c>
      <c r="U839" s="25"/>
      <c r="V839" s="25"/>
      <c r="W839" s="59" t="s">
        <v>3209</v>
      </c>
      <c r="X839" s="25" t="s">
        <v>3210</v>
      </c>
      <c r="Y839" s="25"/>
      <c r="Z839" s="25"/>
      <c r="AA839" s="40"/>
      <c r="AB839" s="40"/>
      <c r="AC839" s="25" t="str">
        <f>TRIM(StudentScore[[#This Row],[Student Email]])</f>
        <v>pattharachai.cha@student.mahidol.ac.th</v>
      </c>
    </row>
    <row r="840" spans="1:29" ht="27">
      <c r="A840" s="15"/>
      <c r="B840" s="27">
        <f t="shared" si="44"/>
        <v>65</v>
      </c>
      <c r="C840" s="27">
        <f t="shared" si="45"/>
        <v>2025</v>
      </c>
      <c r="D840" s="54"/>
      <c r="E840" s="19">
        <v>6588101</v>
      </c>
      <c r="F840" s="20" t="s">
        <v>38</v>
      </c>
      <c r="G840" s="20" t="s">
        <v>3211</v>
      </c>
      <c r="H840" s="32" t="s">
        <v>3212</v>
      </c>
      <c r="I840" s="25" t="s">
        <v>41</v>
      </c>
      <c r="J840" s="25">
        <v>613</v>
      </c>
      <c r="K840" s="25">
        <v>64</v>
      </c>
      <c r="L840" s="25">
        <v>56</v>
      </c>
      <c r="M840" s="25">
        <v>64</v>
      </c>
      <c r="N840" s="25"/>
      <c r="O840" s="25"/>
      <c r="P840" s="25"/>
      <c r="Q840" s="25"/>
      <c r="R840" s="25"/>
      <c r="S840" s="26">
        <v>44712</v>
      </c>
      <c r="T840" s="26">
        <v>44774</v>
      </c>
      <c r="U840" s="25" t="s">
        <v>2261</v>
      </c>
      <c r="V840" s="25"/>
      <c r="W840" s="59" t="s">
        <v>3213</v>
      </c>
      <c r="X840" s="25" t="s">
        <v>3214</v>
      </c>
      <c r="Y840" s="25"/>
      <c r="Z840" s="25"/>
      <c r="AA840" s="40"/>
      <c r="AB840" s="40"/>
      <c r="AC840" s="25" t="str">
        <f>TRIM(StudentScore[[#This Row],[Student Email]])</f>
        <v>kawin.sur@student.mahidol.ac.th</v>
      </c>
    </row>
    <row r="841" spans="1:29" ht="27">
      <c r="A841" s="15"/>
      <c r="B841" s="27">
        <f t="shared" si="44"/>
        <v>65</v>
      </c>
      <c r="C841" s="27">
        <f t="shared" si="45"/>
        <v>2025</v>
      </c>
      <c r="D841" s="54"/>
      <c r="E841" s="19">
        <v>6588102</v>
      </c>
      <c r="F841" s="20" t="s">
        <v>38</v>
      </c>
      <c r="G841" s="20" t="s">
        <v>3215</v>
      </c>
      <c r="H841" s="32" t="s">
        <v>3216</v>
      </c>
      <c r="I841" s="25" t="s">
        <v>53</v>
      </c>
      <c r="J841" s="25">
        <v>96</v>
      </c>
      <c r="K841" s="25">
        <v>54</v>
      </c>
      <c r="L841" s="25">
        <v>42</v>
      </c>
      <c r="M841" s="25"/>
      <c r="N841" s="25"/>
      <c r="O841" s="25"/>
      <c r="P841" s="25"/>
      <c r="Q841" s="25"/>
      <c r="R841" s="25"/>
      <c r="S841" s="26">
        <v>44736</v>
      </c>
      <c r="T841" s="26">
        <v>44805</v>
      </c>
      <c r="U841" s="25"/>
      <c r="V841" s="25"/>
      <c r="W841" s="59" t="s">
        <v>3217</v>
      </c>
      <c r="X841" s="25" t="s">
        <v>3218</v>
      </c>
      <c r="Y841" s="42">
        <v>44802.680578703701</v>
      </c>
      <c r="Z841" s="25" t="s">
        <v>3219</v>
      </c>
      <c r="AA841" s="40"/>
      <c r="AB841" s="40"/>
      <c r="AC841" s="25" t="str">
        <f>TRIM(StudentScore[[#This Row],[Student Email]])</f>
        <v>danai.suw@student.mahidol.ac.th</v>
      </c>
    </row>
    <row r="842" spans="1:29" ht="27">
      <c r="A842" s="15"/>
      <c r="B842" s="27">
        <f t="shared" si="44"/>
        <v>65</v>
      </c>
      <c r="C842" s="27">
        <f t="shared" si="45"/>
        <v>2025</v>
      </c>
      <c r="D842" s="54"/>
      <c r="E842" s="19">
        <v>6588103</v>
      </c>
      <c r="F842" s="20" t="s">
        <v>38</v>
      </c>
      <c r="G842" s="20" t="s">
        <v>3220</v>
      </c>
      <c r="H842" s="32" t="s">
        <v>3221</v>
      </c>
      <c r="I842" s="25" t="s">
        <v>41</v>
      </c>
      <c r="J842" s="25">
        <v>587</v>
      </c>
      <c r="K842" s="25">
        <v>55</v>
      </c>
      <c r="L842" s="25">
        <v>61</v>
      </c>
      <c r="M842" s="25">
        <v>60</v>
      </c>
      <c r="N842" s="25"/>
      <c r="O842" s="25"/>
      <c r="P842" s="25"/>
      <c r="Q842" s="25"/>
      <c r="R842" s="25"/>
      <c r="S842" s="26">
        <v>44712</v>
      </c>
      <c r="T842" s="26">
        <v>44774</v>
      </c>
      <c r="U842" s="25" t="s">
        <v>2261</v>
      </c>
      <c r="V842" s="25"/>
      <c r="W842" s="59" t="s">
        <v>3222</v>
      </c>
      <c r="X842" s="25" t="s">
        <v>3223</v>
      </c>
      <c r="Y842" s="25"/>
      <c r="Z842" s="25"/>
      <c r="AA842" s="40"/>
      <c r="AB842" s="40"/>
      <c r="AC842" s="25" t="str">
        <f>TRIM(StudentScore[[#This Row],[Student Email]])</f>
        <v>patiparn.tan@student.mahidol.ac.th</v>
      </c>
    </row>
    <row r="843" spans="1:29" ht="27">
      <c r="A843" s="15"/>
      <c r="B843" s="27">
        <f t="shared" si="44"/>
        <v>65</v>
      </c>
      <c r="C843" s="27">
        <f t="shared" si="45"/>
        <v>2025</v>
      </c>
      <c r="D843" s="54"/>
      <c r="E843" s="19">
        <v>6588104</v>
      </c>
      <c r="F843" s="20" t="s">
        <v>38</v>
      </c>
      <c r="G843" s="20" t="s">
        <v>3224</v>
      </c>
      <c r="H843" s="32" t="s">
        <v>3225</v>
      </c>
      <c r="I843" s="25" t="s">
        <v>124</v>
      </c>
      <c r="J843" s="25">
        <v>6.5</v>
      </c>
      <c r="K843" s="25">
        <v>7</v>
      </c>
      <c r="L843" s="25">
        <v>7</v>
      </c>
      <c r="M843" s="25">
        <v>6</v>
      </c>
      <c r="N843" s="25">
        <v>6.5</v>
      </c>
      <c r="O843" s="25"/>
      <c r="P843" s="25"/>
      <c r="Q843" s="25"/>
      <c r="R843" s="25"/>
      <c r="S843" s="26">
        <v>44376</v>
      </c>
      <c r="T843" s="51">
        <v>44835</v>
      </c>
      <c r="U843" s="25"/>
      <c r="V843" s="25"/>
      <c r="W843" s="59" t="s">
        <v>3226</v>
      </c>
      <c r="X843" s="25" t="s">
        <v>3227</v>
      </c>
      <c r="Y843" s="25"/>
      <c r="Z843" s="25"/>
      <c r="AA843" s="40"/>
      <c r="AB843" s="40"/>
      <c r="AC843" s="25" t="str">
        <f>TRIM(StudentScore[[#This Row],[Student Email]])</f>
        <v>pongpon.tan@student.mahidol.ac.th</v>
      </c>
    </row>
    <row r="844" spans="1:29" ht="27">
      <c r="A844" s="15"/>
      <c r="B844" s="27">
        <f t="shared" si="44"/>
        <v>65</v>
      </c>
      <c r="C844" s="27">
        <f t="shared" si="45"/>
        <v>2025</v>
      </c>
      <c r="D844" s="54"/>
      <c r="E844" s="19">
        <v>6588105</v>
      </c>
      <c r="F844" s="20" t="s">
        <v>117</v>
      </c>
      <c r="G844" s="20" t="s">
        <v>3228</v>
      </c>
      <c r="H844" s="32" t="s">
        <v>3229</v>
      </c>
      <c r="I844" s="25" t="s">
        <v>41</v>
      </c>
      <c r="J844" s="25">
        <v>637</v>
      </c>
      <c r="K844" s="25">
        <v>68</v>
      </c>
      <c r="L844" s="25">
        <v>63</v>
      </c>
      <c r="M844" s="25">
        <v>60</v>
      </c>
      <c r="N844" s="25"/>
      <c r="O844" s="25"/>
      <c r="P844" s="25"/>
      <c r="Q844" s="25"/>
      <c r="R844" s="25"/>
      <c r="S844" s="26">
        <v>44712</v>
      </c>
      <c r="T844" s="26">
        <v>44774</v>
      </c>
      <c r="U844" s="25" t="s">
        <v>2261</v>
      </c>
      <c r="V844" s="25"/>
      <c r="W844" s="59" t="s">
        <v>3230</v>
      </c>
      <c r="X844" s="25" t="s">
        <v>3231</v>
      </c>
      <c r="Y844" s="25"/>
      <c r="Z844" s="25"/>
      <c r="AA844" s="40"/>
      <c r="AB844" s="40"/>
      <c r="AC844" s="25" t="str">
        <f>TRIM(StudentScore[[#This Row],[Student Email]])</f>
        <v>pran.tan@student.mahidol.ac.th</v>
      </c>
    </row>
    <row r="845" spans="1:29" ht="27">
      <c r="A845" s="15"/>
      <c r="B845" s="27">
        <f t="shared" si="44"/>
        <v>65</v>
      </c>
      <c r="C845" s="27">
        <f t="shared" si="45"/>
        <v>2025</v>
      </c>
      <c r="D845" s="54"/>
      <c r="E845" s="19">
        <v>6588106</v>
      </c>
      <c r="F845" s="20" t="s">
        <v>38</v>
      </c>
      <c r="G845" s="20" t="s">
        <v>3232</v>
      </c>
      <c r="H845" s="32" t="s">
        <v>3233</v>
      </c>
      <c r="I845" s="25" t="s">
        <v>64</v>
      </c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59" t="s">
        <v>3234</v>
      </c>
      <c r="X845" s="25" t="s">
        <v>3235</v>
      </c>
      <c r="Y845" s="25"/>
      <c r="Z845" s="25"/>
      <c r="AA845" s="40"/>
      <c r="AB845" s="40"/>
      <c r="AC845" s="25" t="str">
        <f>TRIM(StudentScore[[#This Row],[Student Email]])</f>
        <v>arbhichar.tha@student.mahidol.ac.th</v>
      </c>
    </row>
    <row r="846" spans="1:29" ht="27">
      <c r="A846" s="15"/>
      <c r="B846" s="27">
        <f t="shared" si="44"/>
        <v>65</v>
      </c>
      <c r="C846" s="27">
        <f t="shared" si="45"/>
        <v>2025</v>
      </c>
      <c r="D846" s="54"/>
      <c r="E846" s="19">
        <v>6588107</v>
      </c>
      <c r="F846" s="20" t="s">
        <v>38</v>
      </c>
      <c r="G846" s="20" t="s">
        <v>3236</v>
      </c>
      <c r="H846" s="32" t="s">
        <v>3237</v>
      </c>
      <c r="I846" s="25" t="s">
        <v>64</v>
      </c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59" t="s">
        <v>3238</v>
      </c>
      <c r="X846" s="25" t="s">
        <v>3239</v>
      </c>
      <c r="Y846" s="25"/>
      <c r="Z846" s="25"/>
      <c r="AA846" s="40"/>
      <c r="AB846" s="40"/>
      <c r="AC846" s="25" t="str">
        <f>TRIM(StudentScore[[#This Row],[Student Email]])</f>
        <v>apivich.pre@student.mahidol.ac.th</v>
      </c>
    </row>
    <row r="847" spans="1:29" ht="27">
      <c r="A847" s="15"/>
      <c r="B847" s="16">
        <f t="shared" si="44"/>
        <v>65</v>
      </c>
      <c r="C847" s="27">
        <f t="shared" si="45"/>
        <v>2025</v>
      </c>
      <c r="D847" s="54"/>
      <c r="E847" s="19">
        <v>6588108</v>
      </c>
      <c r="F847" s="20" t="s">
        <v>38</v>
      </c>
      <c r="G847" s="14" t="s">
        <v>3240</v>
      </c>
      <c r="H847" s="18" t="s">
        <v>3241</v>
      </c>
      <c r="I847" s="25" t="s">
        <v>41</v>
      </c>
      <c r="J847" s="25">
        <v>567</v>
      </c>
      <c r="K847" s="25">
        <v>57</v>
      </c>
      <c r="L847" s="25">
        <v>57</v>
      </c>
      <c r="M847" s="25">
        <v>56</v>
      </c>
      <c r="N847" s="25"/>
      <c r="O847" s="25"/>
      <c r="P847" s="25"/>
      <c r="Q847" s="25"/>
      <c r="R847" s="25"/>
      <c r="S847" s="26">
        <v>44712</v>
      </c>
      <c r="T847" s="26">
        <v>44774</v>
      </c>
      <c r="U847" s="25" t="s">
        <v>2261</v>
      </c>
      <c r="V847" s="25"/>
      <c r="W847" s="59" t="s">
        <v>3242</v>
      </c>
      <c r="X847" s="25" t="s">
        <v>3243</v>
      </c>
      <c r="Y847" s="25"/>
      <c r="Z847" s="25"/>
      <c r="AA847" s="40"/>
      <c r="AB847" s="40"/>
      <c r="AC847" s="25" t="str">
        <f>TRIM(StudentScore[[#This Row],[Student Email]])</f>
        <v>arus.thi@student.mahidol.ac.th</v>
      </c>
    </row>
    <row r="848" spans="1:29" ht="27">
      <c r="A848" s="15"/>
      <c r="B848" s="27">
        <f t="shared" ref="B848:B879" si="46">VALUE(LEFT(E848,2))</f>
        <v>65</v>
      </c>
      <c r="C848" s="27">
        <f t="shared" ref="C848:C879" si="47">VALUE("25"&amp;B848)-543+3</f>
        <v>2025</v>
      </c>
      <c r="D848" s="54"/>
      <c r="E848" s="23">
        <v>6588109</v>
      </c>
      <c r="F848" s="24" t="s">
        <v>38</v>
      </c>
      <c r="G848" s="20" t="s">
        <v>3244</v>
      </c>
      <c r="H848" s="32" t="s">
        <v>3245</v>
      </c>
      <c r="I848" s="25" t="s">
        <v>124</v>
      </c>
      <c r="J848" s="25">
        <v>5.5</v>
      </c>
      <c r="K848" s="25">
        <v>6</v>
      </c>
      <c r="L848" s="25">
        <v>5.5</v>
      </c>
      <c r="M848" s="25">
        <v>5.5</v>
      </c>
      <c r="N848" s="25">
        <v>5</v>
      </c>
      <c r="O848" s="25"/>
      <c r="P848" s="25"/>
      <c r="Q848" s="25"/>
      <c r="R848" s="25"/>
      <c r="S848" s="26">
        <v>44378</v>
      </c>
      <c r="T848" s="26">
        <v>44805</v>
      </c>
      <c r="U848" s="25"/>
      <c r="V848" s="25"/>
      <c r="W848" s="59" t="s">
        <v>3246</v>
      </c>
      <c r="X848" s="28" t="s">
        <v>3247</v>
      </c>
      <c r="Y848" s="25"/>
      <c r="Z848" s="25"/>
      <c r="AA848" s="40"/>
      <c r="AB848" s="40"/>
      <c r="AC848" s="25" t="str">
        <f>TRIM(StudentScore[[#This Row],[Student Email]])</f>
        <v>thannatorn.tho@student.mahidol.ac.th</v>
      </c>
    </row>
    <row r="849" spans="1:29" ht="27">
      <c r="A849" s="15"/>
      <c r="B849" s="27">
        <f t="shared" si="46"/>
        <v>65</v>
      </c>
      <c r="C849" s="27">
        <f t="shared" si="47"/>
        <v>2025</v>
      </c>
      <c r="D849" s="54"/>
      <c r="E849" s="19">
        <v>6588110</v>
      </c>
      <c r="F849" s="20" t="s">
        <v>38</v>
      </c>
      <c r="G849" s="20" t="s">
        <v>3248</v>
      </c>
      <c r="H849" s="32" t="s">
        <v>3249</v>
      </c>
      <c r="I849" s="25" t="s">
        <v>41</v>
      </c>
      <c r="J849" s="25">
        <v>603</v>
      </c>
      <c r="K849" s="25">
        <v>64</v>
      </c>
      <c r="L849" s="25">
        <v>62</v>
      </c>
      <c r="M849" s="25">
        <v>55</v>
      </c>
      <c r="N849" s="25"/>
      <c r="O849" s="25"/>
      <c r="P849" s="25"/>
      <c r="Q849" s="25"/>
      <c r="R849" s="25"/>
      <c r="S849" s="26">
        <v>44712</v>
      </c>
      <c r="T849" s="26">
        <v>44774</v>
      </c>
      <c r="U849" s="25" t="s">
        <v>2261</v>
      </c>
      <c r="V849" s="25"/>
      <c r="W849" s="59" t="s">
        <v>3250</v>
      </c>
      <c r="X849" s="28" t="s">
        <v>3251</v>
      </c>
      <c r="Y849" s="25"/>
      <c r="Z849" s="25"/>
      <c r="AA849" s="40"/>
      <c r="AB849" s="40"/>
      <c r="AC849" s="25" t="str">
        <f>TRIM(StudentScore[[#This Row],[Student Email]])</f>
        <v>panya.tra@student.mahidol.ac.th</v>
      </c>
    </row>
    <row r="850" spans="1:29" ht="27">
      <c r="A850" s="15"/>
      <c r="B850" s="27">
        <f t="shared" si="46"/>
        <v>65</v>
      </c>
      <c r="C850" s="27">
        <f t="shared" si="47"/>
        <v>2025</v>
      </c>
      <c r="D850" s="54"/>
      <c r="E850" s="19">
        <v>6588111</v>
      </c>
      <c r="F850" s="20" t="s">
        <v>38</v>
      </c>
      <c r="G850" s="20" t="s">
        <v>3252</v>
      </c>
      <c r="H850" s="32" t="s">
        <v>3253</v>
      </c>
      <c r="I850" s="25" t="s">
        <v>64</v>
      </c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59" t="s">
        <v>3254</v>
      </c>
      <c r="X850" s="25" t="s">
        <v>3255</v>
      </c>
      <c r="Y850" s="25"/>
      <c r="Z850" s="25"/>
      <c r="AA850" s="40"/>
      <c r="AB850" s="40"/>
      <c r="AC850" s="25" t="str">
        <f>TRIM(StudentScore[[#This Row],[Student Email]])</f>
        <v>pongkrit.ubo@student.mahidol.ac.th</v>
      </c>
    </row>
    <row r="851" spans="1:29" ht="27">
      <c r="A851" s="15"/>
      <c r="B851" s="27">
        <f t="shared" si="46"/>
        <v>65</v>
      </c>
      <c r="C851" s="27">
        <f t="shared" si="47"/>
        <v>2025</v>
      </c>
      <c r="D851" s="54"/>
      <c r="E851" s="19">
        <v>6588112</v>
      </c>
      <c r="F851" s="20" t="s">
        <v>38</v>
      </c>
      <c r="G851" s="20" t="s">
        <v>3256</v>
      </c>
      <c r="H851" s="32" t="s">
        <v>3257</v>
      </c>
      <c r="I851" s="25" t="s">
        <v>64</v>
      </c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59" t="s">
        <v>3258</v>
      </c>
      <c r="X851" s="25" t="s">
        <v>3259</v>
      </c>
      <c r="Y851" s="25"/>
      <c r="Z851" s="25"/>
      <c r="AA851" s="40"/>
      <c r="AB851" s="40"/>
      <c r="AC851" s="25" t="str">
        <f>TRIM(StudentScore[[#This Row],[Student Email]])</f>
        <v>kittinat.uda@student.mahidol.ac.th</v>
      </c>
    </row>
    <row r="852" spans="1:29" ht="27">
      <c r="A852" s="15"/>
      <c r="B852" s="27">
        <f t="shared" si="46"/>
        <v>65</v>
      </c>
      <c r="C852" s="27">
        <f t="shared" si="47"/>
        <v>2025</v>
      </c>
      <c r="D852" s="54"/>
      <c r="E852" s="19">
        <v>6588113</v>
      </c>
      <c r="F852" s="20" t="s">
        <v>38</v>
      </c>
      <c r="G852" s="20" t="s">
        <v>1937</v>
      </c>
      <c r="H852" s="32" t="s">
        <v>3260</v>
      </c>
      <c r="I852" s="25" t="s">
        <v>64</v>
      </c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59" t="s">
        <v>3261</v>
      </c>
      <c r="X852" s="25" t="s">
        <v>3262</v>
      </c>
      <c r="Y852" s="25"/>
      <c r="Z852" s="25"/>
      <c r="AA852" s="40"/>
      <c r="AB852" s="40"/>
      <c r="AC852" s="25" t="str">
        <f>TRIM(StudentScore[[#This Row],[Student Email]])</f>
        <v>wachirawit.raa@student.mahidol.ac.th</v>
      </c>
    </row>
    <row r="853" spans="1:29" ht="27">
      <c r="A853" s="15"/>
      <c r="B853" s="27">
        <f t="shared" si="46"/>
        <v>65</v>
      </c>
      <c r="C853" s="27">
        <f t="shared" si="47"/>
        <v>2025</v>
      </c>
      <c r="D853" s="54"/>
      <c r="E853" s="19">
        <v>6588114</v>
      </c>
      <c r="F853" s="20" t="s">
        <v>38</v>
      </c>
      <c r="G853" s="20" t="s">
        <v>3263</v>
      </c>
      <c r="H853" s="32" t="s">
        <v>3264</v>
      </c>
      <c r="I853" s="25" t="s">
        <v>124</v>
      </c>
      <c r="J853" s="25">
        <v>5.5</v>
      </c>
      <c r="K853" s="25">
        <v>6</v>
      </c>
      <c r="L853" s="25">
        <v>5</v>
      </c>
      <c r="M853" s="25">
        <v>5.5</v>
      </c>
      <c r="N853" s="25">
        <v>6</v>
      </c>
      <c r="O853" s="25"/>
      <c r="P853" s="25"/>
      <c r="Q853" s="25"/>
      <c r="R853" s="25"/>
      <c r="S853" s="35">
        <v>44355</v>
      </c>
      <c r="T853" s="51">
        <v>44774</v>
      </c>
      <c r="U853" s="25"/>
      <c r="V853" s="25"/>
      <c r="W853" s="59" t="s">
        <v>3265</v>
      </c>
      <c r="X853" s="25" t="s">
        <v>3266</v>
      </c>
      <c r="Y853" s="25"/>
      <c r="Z853" s="25"/>
      <c r="AA853" s="40"/>
      <c r="AB853" s="40"/>
      <c r="AC853" s="25" t="str">
        <f>TRIM(StudentScore[[#This Row],[Student Email]])</f>
        <v>phonlapat.uri@student.mahidol.ac.th</v>
      </c>
    </row>
    <row r="854" spans="1:29" ht="27">
      <c r="A854" s="15"/>
      <c r="B854" s="27">
        <f t="shared" si="46"/>
        <v>65</v>
      </c>
      <c r="C854" s="27">
        <f t="shared" si="47"/>
        <v>2025</v>
      </c>
      <c r="D854" s="54"/>
      <c r="E854" s="19">
        <v>6588115</v>
      </c>
      <c r="F854" s="20" t="s">
        <v>117</v>
      </c>
      <c r="G854" s="20" t="s">
        <v>3267</v>
      </c>
      <c r="H854" s="32" t="s">
        <v>3268</v>
      </c>
      <c r="I854" s="25" t="s">
        <v>64</v>
      </c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59" t="s">
        <v>3269</v>
      </c>
      <c r="X854" s="25" t="s">
        <v>3270</v>
      </c>
      <c r="Y854" s="25"/>
      <c r="Z854" s="25"/>
      <c r="AA854" s="40"/>
      <c r="AB854" s="40"/>
      <c r="AC854" s="25" t="str">
        <f>TRIM(StudentScore[[#This Row],[Student Email]])</f>
        <v>supakorn.wah@student.mahidol.ac.th</v>
      </c>
    </row>
    <row r="855" spans="1:29" ht="27">
      <c r="A855" s="15"/>
      <c r="B855" s="27">
        <f t="shared" si="46"/>
        <v>65</v>
      </c>
      <c r="C855" s="27">
        <f t="shared" si="47"/>
        <v>2025</v>
      </c>
      <c r="D855" s="54"/>
      <c r="E855" s="19">
        <v>6588116</v>
      </c>
      <c r="F855" s="20" t="s">
        <v>38</v>
      </c>
      <c r="G855" s="20" t="s">
        <v>3271</v>
      </c>
      <c r="H855" s="32" t="s">
        <v>3272</v>
      </c>
      <c r="I855" s="25" t="s">
        <v>64</v>
      </c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59" t="s">
        <v>3273</v>
      </c>
      <c r="X855" s="25" t="s">
        <v>3274</v>
      </c>
      <c r="Y855" s="25"/>
      <c r="Z855" s="25"/>
      <c r="AA855" s="40"/>
      <c r="AB855" s="40"/>
      <c r="AC855" s="25" t="str">
        <f>TRIM(StudentScore[[#This Row],[Student Email]])</f>
        <v>nuttipong.wat@student.mahidol.ac.th</v>
      </c>
    </row>
    <row r="856" spans="1:29" ht="27">
      <c r="A856" s="15"/>
      <c r="B856" s="27">
        <f t="shared" si="46"/>
        <v>65</v>
      </c>
      <c r="C856" s="27">
        <f t="shared" si="47"/>
        <v>2025</v>
      </c>
      <c r="D856" s="54"/>
      <c r="E856" s="19">
        <v>6588117</v>
      </c>
      <c r="F856" s="20" t="s">
        <v>38</v>
      </c>
      <c r="G856" s="20" t="s">
        <v>3275</v>
      </c>
      <c r="H856" s="32" t="s">
        <v>3276</v>
      </c>
      <c r="I856" s="25" t="s">
        <v>64</v>
      </c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59" t="s">
        <v>3277</v>
      </c>
      <c r="X856" s="25" t="s">
        <v>3278</v>
      </c>
      <c r="Y856" s="25"/>
      <c r="Z856" s="25"/>
      <c r="AA856" s="40"/>
      <c r="AB856" s="40"/>
      <c r="AC856" s="25" t="str">
        <f>TRIM(StudentScore[[#This Row],[Student Email]])</f>
        <v>pornpatchara.wat@student.mahidol.ac.th</v>
      </c>
    </row>
    <row r="857" spans="1:29" ht="27">
      <c r="A857" s="15"/>
      <c r="B857" s="27">
        <f t="shared" si="46"/>
        <v>65</v>
      </c>
      <c r="C857" s="27">
        <f t="shared" si="47"/>
        <v>2025</v>
      </c>
      <c r="D857" s="54"/>
      <c r="E857" s="19">
        <v>6588118</v>
      </c>
      <c r="F857" s="20" t="s">
        <v>38</v>
      </c>
      <c r="G857" s="20" t="s">
        <v>3279</v>
      </c>
      <c r="H857" s="32" t="s">
        <v>3280</v>
      </c>
      <c r="I857" s="25" t="s">
        <v>41</v>
      </c>
      <c r="J857" s="25">
        <v>613</v>
      </c>
      <c r="K857" s="25">
        <v>64</v>
      </c>
      <c r="L857" s="25">
        <v>56</v>
      </c>
      <c r="M857" s="25">
        <v>64</v>
      </c>
      <c r="N857" s="25"/>
      <c r="O857" s="25"/>
      <c r="P857" s="25"/>
      <c r="Q857" s="25"/>
      <c r="R857" s="25"/>
      <c r="S857" s="26">
        <v>44712</v>
      </c>
      <c r="T857" s="26">
        <v>44774</v>
      </c>
      <c r="U857" s="25" t="s">
        <v>2261</v>
      </c>
      <c r="V857" s="25"/>
      <c r="W857" s="59" t="s">
        <v>3281</v>
      </c>
      <c r="X857" s="25" t="s">
        <v>3282</v>
      </c>
      <c r="Y857" s="25"/>
      <c r="Z857" s="25"/>
      <c r="AA857" s="40"/>
      <c r="AB857" s="40"/>
      <c r="AC857" s="25" t="str">
        <f>TRIM(StudentScore[[#This Row],[Student Email]])</f>
        <v>nantapat.wat@student.mahidol.ac.th</v>
      </c>
    </row>
    <row r="858" spans="1:29" ht="27">
      <c r="A858" s="15"/>
      <c r="B858" s="27">
        <f t="shared" si="46"/>
        <v>65</v>
      </c>
      <c r="C858" s="27">
        <f t="shared" si="47"/>
        <v>2025</v>
      </c>
      <c r="D858" s="54"/>
      <c r="E858" s="19">
        <v>6588119</v>
      </c>
      <c r="F858" s="20" t="s">
        <v>38</v>
      </c>
      <c r="G858" s="20" t="s">
        <v>3283</v>
      </c>
      <c r="H858" s="32" t="s">
        <v>3284</v>
      </c>
      <c r="I858" s="25" t="s">
        <v>64</v>
      </c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59" t="s">
        <v>3285</v>
      </c>
      <c r="X858" s="25" t="s">
        <v>3286</v>
      </c>
      <c r="Y858" s="25"/>
      <c r="Z858" s="25"/>
      <c r="AA858" s="40"/>
      <c r="AB858" s="40"/>
      <c r="AC858" s="25" t="str">
        <f>TRIM(StudentScore[[#This Row],[Student Email]])</f>
        <v>rattanon.yan@student.mahidol.ac.th</v>
      </c>
    </row>
    <row r="859" spans="1:29" ht="27">
      <c r="A859" s="15"/>
      <c r="B859" s="27">
        <f t="shared" si="46"/>
        <v>65</v>
      </c>
      <c r="C859" s="27">
        <f t="shared" si="47"/>
        <v>2025</v>
      </c>
      <c r="D859" s="54"/>
      <c r="E859" s="19">
        <v>6588120</v>
      </c>
      <c r="F859" s="20" t="s">
        <v>117</v>
      </c>
      <c r="G859" s="20" t="s">
        <v>850</v>
      </c>
      <c r="H859" s="32" t="s">
        <v>3287</v>
      </c>
      <c r="I859" s="25" t="s">
        <v>64</v>
      </c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59" t="s">
        <v>3288</v>
      </c>
      <c r="X859" s="25" t="s">
        <v>3289</v>
      </c>
      <c r="Y859" s="25"/>
      <c r="Z859" s="25"/>
      <c r="AA859" s="40"/>
      <c r="AB859" s="40"/>
      <c r="AC859" s="25" t="str">
        <f>TRIM(StudentScore[[#This Row],[Student Email]])</f>
        <v>natchaya.yoo@student.mahidol.ac.th</v>
      </c>
    </row>
    <row r="860" spans="1:29" ht="27">
      <c r="A860" s="15"/>
      <c r="B860" s="27">
        <f t="shared" si="46"/>
        <v>65</v>
      </c>
      <c r="C860" s="27">
        <f t="shared" si="47"/>
        <v>2025</v>
      </c>
      <c r="D860" s="54"/>
      <c r="E860" s="19">
        <v>6588121</v>
      </c>
      <c r="F860" s="20" t="s">
        <v>38</v>
      </c>
      <c r="G860" s="20" t="s">
        <v>3290</v>
      </c>
      <c r="H860" s="32" t="s">
        <v>2576</v>
      </c>
      <c r="I860" s="25" t="s">
        <v>41</v>
      </c>
      <c r="J860" s="25">
        <v>537</v>
      </c>
      <c r="K860" s="25">
        <v>53</v>
      </c>
      <c r="L860" s="25">
        <v>56</v>
      </c>
      <c r="M860" s="25">
        <v>52</v>
      </c>
      <c r="N860" s="25"/>
      <c r="O860" s="25"/>
      <c r="P860" s="25"/>
      <c r="Q860" s="25"/>
      <c r="R860" s="25"/>
      <c r="S860" s="26">
        <v>44754</v>
      </c>
      <c r="T860" s="26">
        <v>44774</v>
      </c>
      <c r="U860" s="25" t="s">
        <v>2261</v>
      </c>
      <c r="V860" s="25"/>
      <c r="W860" s="59" t="s">
        <v>3291</v>
      </c>
      <c r="X860" s="25" t="s">
        <v>3292</v>
      </c>
      <c r="Y860" s="25"/>
      <c r="Z860" s="25"/>
      <c r="AA860" s="40"/>
      <c r="AB860" s="40"/>
      <c r="AC860" s="25" t="str">
        <f>TRIM(StudentScore[[#This Row],[Student Email]])</f>
        <v>ziyan.che@student.mahidol.ac.th</v>
      </c>
    </row>
    <row r="861" spans="1:29" ht="27">
      <c r="A861" s="15"/>
      <c r="B861" s="27">
        <f t="shared" si="46"/>
        <v>65</v>
      </c>
      <c r="C861" s="27">
        <f t="shared" si="47"/>
        <v>2025</v>
      </c>
      <c r="D861" s="54"/>
      <c r="E861" s="19">
        <v>6588122</v>
      </c>
      <c r="F861" s="20" t="s">
        <v>38</v>
      </c>
      <c r="G861" s="20" t="s">
        <v>3293</v>
      </c>
      <c r="H861" s="32" t="s">
        <v>604</v>
      </c>
      <c r="I861" s="25" t="s">
        <v>124</v>
      </c>
      <c r="J861" s="25">
        <v>5.5</v>
      </c>
      <c r="K861" s="25">
        <v>5.5</v>
      </c>
      <c r="L861" s="25">
        <v>6</v>
      </c>
      <c r="M861" s="25">
        <v>6</v>
      </c>
      <c r="N861" s="25">
        <v>5</v>
      </c>
      <c r="O861" s="25"/>
      <c r="P861" s="25"/>
      <c r="Q861" s="25"/>
      <c r="R861" s="25"/>
      <c r="S861" s="26">
        <v>44548</v>
      </c>
      <c r="T861" s="26">
        <v>44806</v>
      </c>
      <c r="U861" s="25"/>
      <c r="V861" s="25"/>
      <c r="W861" s="59" t="s">
        <v>3294</v>
      </c>
      <c r="X861" s="25" t="s">
        <v>3295</v>
      </c>
      <c r="Y861" s="42">
        <v>44806.413553240738</v>
      </c>
      <c r="Z861" s="25" t="s">
        <v>3296</v>
      </c>
      <c r="AA861" s="40"/>
      <c r="AB861" s="40"/>
      <c r="AC861" s="25" t="str">
        <f>TRIM(StudentScore[[#This Row],[Student Email]])</f>
        <v>weixian.den@student.mahidol.ac.th</v>
      </c>
    </row>
    <row r="862" spans="1:29" ht="27">
      <c r="A862" s="15"/>
      <c r="B862" s="27">
        <f t="shared" si="46"/>
        <v>65</v>
      </c>
      <c r="C862" s="27">
        <f t="shared" si="47"/>
        <v>2025</v>
      </c>
      <c r="D862" s="54"/>
      <c r="E862" s="19">
        <v>6588123</v>
      </c>
      <c r="F862" s="20" t="s">
        <v>117</v>
      </c>
      <c r="G862" s="20" t="s">
        <v>3297</v>
      </c>
      <c r="H862" s="32" t="s">
        <v>596</v>
      </c>
      <c r="I862" s="25" t="s">
        <v>64</v>
      </c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59" t="s">
        <v>3294</v>
      </c>
      <c r="X862" s="25" t="s">
        <v>3298</v>
      </c>
      <c r="Y862" s="25"/>
      <c r="Z862" s="25"/>
      <c r="AA862" s="40"/>
      <c r="AB862" s="40"/>
      <c r="AC862" s="25" t="str">
        <f>TRIM(StudentScore[[#This Row],[Student Email]])</f>
        <v>yuetong.guo@student.mahidol.ac.th</v>
      </c>
    </row>
    <row r="863" spans="1:29" ht="27">
      <c r="A863" s="15"/>
      <c r="B863" s="27">
        <f t="shared" si="46"/>
        <v>65</v>
      </c>
      <c r="C863" s="27">
        <f t="shared" si="47"/>
        <v>2025</v>
      </c>
      <c r="D863" s="54"/>
      <c r="E863" s="19">
        <v>6588124</v>
      </c>
      <c r="F863" s="20" t="s">
        <v>117</v>
      </c>
      <c r="G863" s="20" t="s">
        <v>3299</v>
      </c>
      <c r="H863" s="32" t="s">
        <v>3300</v>
      </c>
      <c r="I863" s="25" t="s">
        <v>64</v>
      </c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59" t="s">
        <v>3294</v>
      </c>
      <c r="X863" s="25" t="s">
        <v>3301</v>
      </c>
      <c r="Y863" s="25"/>
      <c r="Z863" s="25"/>
      <c r="AA863" s="40"/>
      <c r="AB863" s="40"/>
      <c r="AC863" s="25" t="str">
        <f>TRIM(StudentScore[[#This Row],[Student Email]])</f>
        <v>yantong.he@student.mahidol.ac.th</v>
      </c>
    </row>
    <row r="864" spans="1:29" ht="27">
      <c r="A864" s="15"/>
      <c r="B864" s="27">
        <f t="shared" si="46"/>
        <v>65</v>
      </c>
      <c r="C864" s="27">
        <f t="shared" si="47"/>
        <v>2025</v>
      </c>
      <c r="D864" s="54"/>
      <c r="E864" s="19">
        <v>6588125</v>
      </c>
      <c r="F864" s="20" t="s">
        <v>117</v>
      </c>
      <c r="G864" s="20" t="s">
        <v>3302</v>
      </c>
      <c r="H864" s="32" t="s">
        <v>1409</v>
      </c>
      <c r="I864" s="25" t="s">
        <v>124</v>
      </c>
      <c r="J864" s="25">
        <v>5.5</v>
      </c>
      <c r="K864" s="25">
        <v>5</v>
      </c>
      <c r="L864" s="25">
        <v>5</v>
      </c>
      <c r="M864" s="25">
        <v>6</v>
      </c>
      <c r="N864" s="25">
        <v>5</v>
      </c>
      <c r="O864" s="25"/>
      <c r="P864" s="25"/>
      <c r="Q864" s="25"/>
      <c r="R864" s="25"/>
      <c r="S864" s="26">
        <v>44511</v>
      </c>
      <c r="T864" s="26">
        <v>44806</v>
      </c>
      <c r="U864" s="25"/>
      <c r="V864" s="25"/>
      <c r="W864" s="59" t="s">
        <v>3294</v>
      </c>
      <c r="X864" s="25" t="s">
        <v>3303</v>
      </c>
      <c r="Y864" s="42">
        <v>44806.416979166665</v>
      </c>
      <c r="Z864" s="25" t="s">
        <v>3304</v>
      </c>
      <c r="AA864" s="40"/>
      <c r="AB864" s="40"/>
      <c r="AC864" s="25" t="str">
        <f>TRIM(StudentScore[[#This Row],[Student Email]])</f>
        <v>siling.wan@student.mahidol.ac.th</v>
      </c>
    </row>
    <row r="865" spans="1:29" ht="27">
      <c r="A865" s="15"/>
      <c r="B865" s="27">
        <f t="shared" si="46"/>
        <v>65</v>
      </c>
      <c r="C865" s="27">
        <f t="shared" si="47"/>
        <v>2025</v>
      </c>
      <c r="D865" s="54"/>
      <c r="E865" s="19">
        <v>6588126</v>
      </c>
      <c r="F865" s="20" t="s">
        <v>117</v>
      </c>
      <c r="G865" s="20" t="s">
        <v>3305</v>
      </c>
      <c r="H865" s="32" t="s">
        <v>3306</v>
      </c>
      <c r="I865" s="25" t="s">
        <v>124</v>
      </c>
      <c r="J865" s="25">
        <v>5.5</v>
      </c>
      <c r="K865" s="25">
        <v>5.5</v>
      </c>
      <c r="L865" s="25">
        <v>5.5</v>
      </c>
      <c r="M865" s="25">
        <v>5.5</v>
      </c>
      <c r="N865" s="25">
        <v>5</v>
      </c>
      <c r="O865" s="25"/>
      <c r="P865" s="25"/>
      <c r="Q865" s="25"/>
      <c r="R865" s="25"/>
      <c r="S865" s="26">
        <v>44541</v>
      </c>
      <c r="T865" s="26">
        <v>44809</v>
      </c>
      <c r="U865" s="25"/>
      <c r="V865" s="25"/>
      <c r="W865" s="59" t="s">
        <v>3294</v>
      </c>
      <c r="X865" s="25" t="s">
        <v>3307</v>
      </c>
      <c r="Y865" s="42">
        <v>44809.473298611112</v>
      </c>
      <c r="Z865" s="25" t="s">
        <v>3308</v>
      </c>
      <c r="AA865" s="40"/>
      <c r="AB865" s="40"/>
      <c r="AC865" s="25" t="str">
        <f>TRIM(StudentScore[[#This Row],[Student Email]])</f>
        <v>jiahui.wu@student.mahidol.ac.th</v>
      </c>
    </row>
    <row r="866" spans="1:29" ht="27">
      <c r="A866" s="15"/>
      <c r="B866" s="27">
        <f t="shared" si="46"/>
        <v>65</v>
      </c>
      <c r="C866" s="27">
        <f t="shared" si="47"/>
        <v>2025</v>
      </c>
      <c r="D866" s="54"/>
      <c r="E866" s="19">
        <v>6588127</v>
      </c>
      <c r="F866" s="20" t="s">
        <v>38</v>
      </c>
      <c r="G866" s="20" t="s">
        <v>3309</v>
      </c>
      <c r="H866" s="32" t="s">
        <v>3310</v>
      </c>
      <c r="I866" s="25" t="s">
        <v>64</v>
      </c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59" t="s">
        <v>3294</v>
      </c>
      <c r="X866" s="25" t="s">
        <v>3311</v>
      </c>
      <c r="Y866" s="25"/>
      <c r="Z866" s="25"/>
      <c r="AA866" s="40"/>
      <c r="AB866" s="40"/>
      <c r="AC866" s="25" t="str">
        <f>TRIM(StudentScore[[#This Row],[Student Email]])</f>
        <v>junxu.ye@student.mahidol.ac.th</v>
      </c>
    </row>
    <row r="867" spans="1:29" ht="27">
      <c r="A867" s="15"/>
      <c r="B867" s="27">
        <f t="shared" si="46"/>
        <v>65</v>
      </c>
      <c r="C867" s="27">
        <f t="shared" si="47"/>
        <v>2025</v>
      </c>
      <c r="D867" s="54"/>
      <c r="E867" s="19">
        <v>6588128</v>
      </c>
      <c r="F867" s="20" t="s">
        <v>38</v>
      </c>
      <c r="G867" s="20" t="s">
        <v>3312</v>
      </c>
      <c r="H867" s="32" t="s">
        <v>2667</v>
      </c>
      <c r="I867" s="25" t="s">
        <v>124</v>
      </c>
      <c r="J867" s="25">
        <v>5.5</v>
      </c>
      <c r="K867" s="25">
        <v>5</v>
      </c>
      <c r="L867" s="25">
        <v>6</v>
      </c>
      <c r="M867" s="25">
        <v>6</v>
      </c>
      <c r="N867" s="25">
        <v>5.5</v>
      </c>
      <c r="O867" s="25"/>
      <c r="P867" s="25"/>
      <c r="Q867" s="25"/>
      <c r="R867" s="25"/>
      <c r="S867" s="26">
        <v>44550</v>
      </c>
      <c r="T867" s="51">
        <v>44958</v>
      </c>
      <c r="U867" s="25"/>
      <c r="V867" s="25"/>
      <c r="W867" s="59" t="s">
        <v>3294</v>
      </c>
      <c r="X867" s="25" t="s">
        <v>3313</v>
      </c>
      <c r="Y867" s="42">
        <v>44935.673645833333</v>
      </c>
      <c r="Z867" s="28" t="s">
        <v>3314</v>
      </c>
      <c r="AA867" s="40"/>
      <c r="AB867" s="40"/>
      <c r="AC867" s="25" t="str">
        <f>TRIM(StudentScore[[#This Row],[Student Email]])</f>
        <v>junhao.zhn@student.mahidol.ac.th</v>
      </c>
    </row>
    <row r="868" spans="1:29" ht="27">
      <c r="A868" s="15"/>
      <c r="B868" s="27">
        <f t="shared" si="46"/>
        <v>65</v>
      </c>
      <c r="C868" s="27">
        <f t="shared" si="47"/>
        <v>2025</v>
      </c>
      <c r="D868" s="54"/>
      <c r="E868" s="19">
        <v>6588129</v>
      </c>
      <c r="F868" s="20" t="s">
        <v>38</v>
      </c>
      <c r="G868" s="20" t="s">
        <v>3315</v>
      </c>
      <c r="H868" s="32" t="s">
        <v>1427</v>
      </c>
      <c r="I868" s="25" t="s">
        <v>64</v>
      </c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59" t="s">
        <v>3294</v>
      </c>
      <c r="X868" s="25" t="s">
        <v>3316</v>
      </c>
      <c r="Y868" s="25"/>
      <c r="Z868" s="25"/>
      <c r="AA868" s="40"/>
      <c r="AB868" s="40"/>
      <c r="AC868" s="25" t="str">
        <f>TRIM(StudentScore[[#This Row],[Student Email]])</f>
        <v>zhenghao.zho@student.mahidol.ac.th</v>
      </c>
    </row>
    <row r="869" spans="1:29" ht="27">
      <c r="A869" s="15"/>
      <c r="B869" s="27">
        <f t="shared" si="46"/>
        <v>65</v>
      </c>
      <c r="C869" s="27">
        <f t="shared" si="47"/>
        <v>2025</v>
      </c>
      <c r="D869" s="54"/>
      <c r="E869" s="19">
        <v>6588130</v>
      </c>
      <c r="F869" s="20" t="s">
        <v>117</v>
      </c>
      <c r="G869" s="20" t="s">
        <v>3317</v>
      </c>
      <c r="H869" s="32" t="s">
        <v>3318</v>
      </c>
      <c r="I869" s="25" t="s">
        <v>48</v>
      </c>
      <c r="J869" s="25">
        <v>630</v>
      </c>
      <c r="K869" s="25">
        <v>375</v>
      </c>
      <c r="L869" s="25">
        <v>255</v>
      </c>
      <c r="M869" s="25"/>
      <c r="N869" s="25"/>
      <c r="O869" s="25"/>
      <c r="P869" s="25"/>
      <c r="Q869" s="25"/>
      <c r="R869" s="25"/>
      <c r="S869" s="35">
        <v>45028</v>
      </c>
      <c r="T869" s="35">
        <v>45041</v>
      </c>
      <c r="U869" s="25"/>
      <c r="V869" s="25"/>
      <c r="W869" s="59" t="s">
        <v>3319</v>
      </c>
      <c r="X869" s="25" t="s">
        <v>3320</v>
      </c>
      <c r="Y869" s="25"/>
      <c r="Z869" s="25"/>
      <c r="AA869" s="40"/>
      <c r="AB869" s="40"/>
      <c r="AC869" s="25" t="str">
        <f>TRIM(StudentScore[[#This Row],[Student Email]])</f>
        <v>suphatchaya.aic@student.mahidol.ac.th</v>
      </c>
    </row>
    <row r="870" spans="1:29" ht="27">
      <c r="A870" s="15"/>
      <c r="B870" s="27">
        <f t="shared" si="46"/>
        <v>65</v>
      </c>
      <c r="C870" s="27">
        <f t="shared" si="47"/>
        <v>2025</v>
      </c>
      <c r="D870" s="54"/>
      <c r="E870" s="19">
        <v>6588132</v>
      </c>
      <c r="F870" s="20" t="s">
        <v>38</v>
      </c>
      <c r="G870" s="20" t="s">
        <v>3321</v>
      </c>
      <c r="H870" s="32" t="s">
        <v>3322</v>
      </c>
      <c r="I870" s="25" t="s">
        <v>64</v>
      </c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59" t="s">
        <v>3323</v>
      </c>
      <c r="X870" s="25" t="s">
        <v>3324</v>
      </c>
      <c r="Y870" s="25"/>
      <c r="Z870" s="25"/>
      <c r="AA870" s="40"/>
      <c r="AB870" s="40"/>
      <c r="AC870" s="25" t="str">
        <f>TRIM(StudentScore[[#This Row],[Student Email]])</f>
        <v>raweerot.bha@student.mahidol.ac.th</v>
      </c>
    </row>
    <row r="871" spans="1:29" ht="27">
      <c r="A871" s="15"/>
      <c r="B871" s="27">
        <f t="shared" si="46"/>
        <v>65</v>
      </c>
      <c r="C871" s="27">
        <f t="shared" si="47"/>
        <v>2025</v>
      </c>
      <c r="D871" s="54"/>
      <c r="E871" s="19">
        <v>6588133</v>
      </c>
      <c r="F871" s="20" t="s">
        <v>38</v>
      </c>
      <c r="G871" s="20" t="s">
        <v>3325</v>
      </c>
      <c r="H871" s="32" t="s">
        <v>3326</v>
      </c>
      <c r="I871" s="25" t="s">
        <v>64</v>
      </c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59" t="s">
        <v>3327</v>
      </c>
      <c r="X871" s="25" t="s">
        <v>3328</v>
      </c>
      <c r="Y871" s="25"/>
      <c r="Z871" s="25"/>
      <c r="AA871" s="40"/>
      <c r="AB871" s="40"/>
      <c r="AC871" s="25" t="str">
        <f>TRIM(StudentScore[[#This Row],[Student Email]])</f>
        <v>kasidat.boo@student.mahidol.ac.th</v>
      </c>
    </row>
    <row r="872" spans="1:29" ht="27">
      <c r="A872" s="15"/>
      <c r="B872" s="27">
        <f t="shared" si="46"/>
        <v>65</v>
      </c>
      <c r="C872" s="27">
        <f t="shared" si="47"/>
        <v>2025</v>
      </c>
      <c r="D872" s="54"/>
      <c r="E872" s="19">
        <v>6588134</v>
      </c>
      <c r="F872" s="20" t="s">
        <v>38</v>
      </c>
      <c r="G872" s="20" t="s">
        <v>744</v>
      </c>
      <c r="H872" s="32" t="s">
        <v>3329</v>
      </c>
      <c r="I872" s="25" t="s">
        <v>64</v>
      </c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59" t="s">
        <v>3330</v>
      </c>
      <c r="X872" s="25" t="s">
        <v>3331</v>
      </c>
      <c r="Y872" s="25"/>
      <c r="Z872" s="25"/>
      <c r="AA872" s="40"/>
      <c r="AB872" s="40"/>
      <c r="AC872" s="25" t="str">
        <f>TRIM(StudentScore[[#This Row],[Student Email]])</f>
        <v>thanakorn.bus@student.mahidol.ac.th</v>
      </c>
    </row>
    <row r="873" spans="1:29" ht="27">
      <c r="A873" s="15"/>
      <c r="B873" s="27">
        <f t="shared" si="46"/>
        <v>65</v>
      </c>
      <c r="C873" s="27">
        <f t="shared" si="47"/>
        <v>2025</v>
      </c>
      <c r="D873" s="54"/>
      <c r="E873" s="19">
        <v>6588136</v>
      </c>
      <c r="F873" s="20" t="s">
        <v>38</v>
      </c>
      <c r="G873" s="20" t="s">
        <v>1008</v>
      </c>
      <c r="H873" s="32" t="s">
        <v>3332</v>
      </c>
      <c r="I873" s="25" t="s">
        <v>64</v>
      </c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59" t="s">
        <v>3333</v>
      </c>
      <c r="X873" s="25" t="s">
        <v>3334</v>
      </c>
      <c r="Y873" s="25"/>
      <c r="Z873" s="25"/>
      <c r="AA873" s="40"/>
      <c r="AB873" s="40"/>
      <c r="AC873" s="25" t="str">
        <f>TRIM(StudentScore[[#This Row],[Student Email]])</f>
        <v>thanakrit.jit@student.mahidol.ac.th</v>
      </c>
    </row>
    <row r="874" spans="1:29" ht="27">
      <c r="A874" s="15"/>
      <c r="B874" s="27">
        <f t="shared" si="46"/>
        <v>65</v>
      </c>
      <c r="C874" s="27">
        <f t="shared" si="47"/>
        <v>2025</v>
      </c>
      <c r="D874" s="54"/>
      <c r="E874" s="19">
        <v>6588138</v>
      </c>
      <c r="F874" s="20" t="s">
        <v>38</v>
      </c>
      <c r="G874" s="20" t="s">
        <v>3335</v>
      </c>
      <c r="H874" s="32" t="s">
        <v>3336</v>
      </c>
      <c r="I874" s="25" t="s">
        <v>64</v>
      </c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59" t="s">
        <v>3337</v>
      </c>
      <c r="X874" s="25" t="s">
        <v>3338</v>
      </c>
      <c r="Y874" s="25"/>
      <c r="Z874" s="25"/>
      <c r="AA874" s="40"/>
      <c r="AB874" s="40"/>
      <c r="AC874" s="25" t="str">
        <f>TRIM(StudentScore[[#This Row],[Student Email]])</f>
        <v>chissanupong.kha@student.mahidol.ac.th</v>
      </c>
    </row>
    <row r="875" spans="1:29" ht="27">
      <c r="A875" s="15"/>
      <c r="B875" s="27">
        <f t="shared" si="46"/>
        <v>65</v>
      </c>
      <c r="C875" s="27">
        <f t="shared" si="47"/>
        <v>2025</v>
      </c>
      <c r="D875" s="54"/>
      <c r="E875" s="19">
        <v>6588140</v>
      </c>
      <c r="F875" s="20" t="s">
        <v>38</v>
      </c>
      <c r="G875" s="20" t="s">
        <v>2333</v>
      </c>
      <c r="H875" s="32" t="s">
        <v>3339</v>
      </c>
      <c r="I875" s="25" t="s">
        <v>64</v>
      </c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59" t="s">
        <v>3340</v>
      </c>
      <c r="X875" s="25" t="s">
        <v>3341</v>
      </c>
      <c r="Y875" s="25"/>
      <c r="Z875" s="25"/>
      <c r="AA875" s="40"/>
      <c r="AB875" s="40"/>
      <c r="AC875" s="25" t="str">
        <f>TRIM(StudentScore[[#This Row],[Student Email]])</f>
        <v>krittin.pro@student.mahidol.ac.th</v>
      </c>
    </row>
    <row r="876" spans="1:29" ht="27">
      <c r="A876" s="15"/>
      <c r="B876" s="27">
        <f t="shared" si="46"/>
        <v>65</v>
      </c>
      <c r="C876" s="27">
        <f t="shared" si="47"/>
        <v>2025</v>
      </c>
      <c r="D876" s="54"/>
      <c r="E876" s="19">
        <v>6588141</v>
      </c>
      <c r="F876" s="20" t="s">
        <v>38</v>
      </c>
      <c r="G876" s="20" t="s">
        <v>3342</v>
      </c>
      <c r="H876" s="32" t="s">
        <v>3343</v>
      </c>
      <c r="I876" s="25" t="s">
        <v>41</v>
      </c>
      <c r="J876" s="25">
        <v>557</v>
      </c>
      <c r="K876" s="25">
        <v>58</v>
      </c>
      <c r="L876" s="25">
        <v>54</v>
      </c>
      <c r="M876" s="25">
        <v>55</v>
      </c>
      <c r="N876" s="25"/>
      <c r="O876" s="25"/>
      <c r="P876" s="25"/>
      <c r="Q876" s="25"/>
      <c r="R876" s="25"/>
      <c r="S876" s="26">
        <v>44754</v>
      </c>
      <c r="T876" s="26">
        <v>44774</v>
      </c>
      <c r="U876" s="25" t="s">
        <v>2261</v>
      </c>
      <c r="V876" s="25"/>
      <c r="W876" s="59" t="s">
        <v>3344</v>
      </c>
      <c r="X876" s="25" t="s">
        <v>3345</v>
      </c>
      <c r="Y876" s="25"/>
      <c r="Z876" s="25"/>
      <c r="AA876" s="40"/>
      <c r="AB876" s="40"/>
      <c r="AC876" s="25" t="str">
        <f>TRIM(StudentScore[[#This Row],[Student Email]])</f>
        <v>nagun.san@student.mahidol.ac.th</v>
      </c>
    </row>
    <row r="877" spans="1:29" ht="27">
      <c r="A877" s="15"/>
      <c r="B877" s="27">
        <f t="shared" si="46"/>
        <v>65</v>
      </c>
      <c r="C877" s="27">
        <f t="shared" si="47"/>
        <v>2025</v>
      </c>
      <c r="D877" s="54"/>
      <c r="E877" s="19">
        <v>6588142</v>
      </c>
      <c r="F877" s="20" t="s">
        <v>38</v>
      </c>
      <c r="G877" s="20" t="s">
        <v>3346</v>
      </c>
      <c r="H877" s="32" t="s">
        <v>3347</v>
      </c>
      <c r="I877" s="25" t="s">
        <v>64</v>
      </c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59" t="s">
        <v>3348</v>
      </c>
      <c r="X877" s="25" t="s">
        <v>3349</v>
      </c>
      <c r="Y877" s="25"/>
      <c r="Z877" s="25"/>
      <c r="AA877" s="40"/>
      <c r="AB877" s="40"/>
      <c r="AC877" s="25" t="str">
        <f>TRIM(StudentScore[[#This Row],[Student Email]])</f>
        <v>punnut.saw@student.mahidol.ac.th</v>
      </c>
    </row>
    <row r="878" spans="1:29" ht="27">
      <c r="A878" s="15"/>
      <c r="B878" s="27">
        <f t="shared" si="46"/>
        <v>65</v>
      </c>
      <c r="C878" s="27">
        <f t="shared" si="47"/>
        <v>2025</v>
      </c>
      <c r="D878" s="54"/>
      <c r="E878" s="19">
        <v>6588143</v>
      </c>
      <c r="F878" s="20" t="s">
        <v>38</v>
      </c>
      <c r="G878" s="20" t="s">
        <v>3350</v>
      </c>
      <c r="H878" s="32" t="s">
        <v>3351</v>
      </c>
      <c r="I878" s="25" t="s">
        <v>64</v>
      </c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59" t="s">
        <v>3352</v>
      </c>
      <c r="X878" s="25" t="s">
        <v>3353</v>
      </c>
      <c r="Y878" s="25"/>
      <c r="Z878" s="25"/>
      <c r="AA878" s="40"/>
      <c r="AB878" s="40"/>
      <c r="AC878" s="25" t="str">
        <f>TRIM(StudentScore[[#This Row],[Student Email]])</f>
        <v>panupong.srs@student.mahidol.ac.th</v>
      </c>
    </row>
    <row r="879" spans="1:29" ht="27">
      <c r="A879" s="15"/>
      <c r="B879" s="27">
        <f t="shared" si="46"/>
        <v>65</v>
      </c>
      <c r="C879" s="27">
        <f t="shared" si="47"/>
        <v>2025</v>
      </c>
      <c r="D879" s="54"/>
      <c r="E879" s="19">
        <v>6588144</v>
      </c>
      <c r="F879" s="20" t="s">
        <v>117</v>
      </c>
      <c r="G879" s="20" t="s">
        <v>238</v>
      </c>
      <c r="H879" s="32" t="s">
        <v>3354</v>
      </c>
      <c r="I879" s="25" t="s">
        <v>64</v>
      </c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59" t="s">
        <v>3355</v>
      </c>
      <c r="X879" s="25" t="s">
        <v>3356</v>
      </c>
      <c r="Y879" s="25"/>
      <c r="Z879" s="25"/>
      <c r="AA879" s="40"/>
      <c r="AB879" s="40"/>
      <c r="AC879" s="25" t="str">
        <f>TRIM(StudentScore[[#This Row],[Student Email]])</f>
        <v>nuttida.wih@student.mahidol.ac.th</v>
      </c>
    </row>
    <row r="880" spans="1:29" ht="27">
      <c r="A880" s="15"/>
      <c r="B880" s="27">
        <f t="shared" ref="B880:B911" si="48">VALUE(LEFT(E880,2))</f>
        <v>65</v>
      </c>
      <c r="C880" s="27">
        <f t="shared" ref="C880:C911" si="49">VALUE("25"&amp;B880)-543+3</f>
        <v>2025</v>
      </c>
      <c r="D880" s="54"/>
      <c r="E880" s="19">
        <v>6588150</v>
      </c>
      <c r="F880" s="20" t="s">
        <v>38</v>
      </c>
      <c r="G880" s="20" t="s">
        <v>3357</v>
      </c>
      <c r="H880" s="32" t="s">
        <v>3358</v>
      </c>
      <c r="I880" s="25" t="s">
        <v>64</v>
      </c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59" t="s">
        <v>3359</v>
      </c>
      <c r="X880" s="25" t="s">
        <v>3360</v>
      </c>
      <c r="Y880" s="25"/>
      <c r="Z880" s="25"/>
      <c r="AA880" s="40"/>
      <c r="AB880" s="40"/>
      <c r="AC880" s="25" t="str">
        <f>TRIM(StudentScore[[#This Row],[Student Email]])</f>
        <v>bhurinat.kan@student.mahidol.ac.th</v>
      </c>
    </row>
    <row r="881" spans="1:29" ht="27">
      <c r="A881" s="15"/>
      <c r="B881" s="27">
        <f t="shared" si="48"/>
        <v>65</v>
      </c>
      <c r="C881" s="27">
        <f t="shared" si="49"/>
        <v>2025</v>
      </c>
      <c r="D881" s="54"/>
      <c r="E881" s="19">
        <v>6588152</v>
      </c>
      <c r="F881" s="20" t="s">
        <v>117</v>
      </c>
      <c r="G881" s="20" t="s">
        <v>3361</v>
      </c>
      <c r="H881" s="32" t="s">
        <v>3362</v>
      </c>
      <c r="I881" s="25" t="s">
        <v>64</v>
      </c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59" t="s">
        <v>3363</v>
      </c>
      <c r="X881" s="25" t="s">
        <v>3364</v>
      </c>
      <c r="Y881" s="25"/>
      <c r="Z881" s="25"/>
      <c r="AA881" s="40"/>
      <c r="AB881" s="40"/>
      <c r="AC881" s="25" t="str">
        <f>TRIM(StudentScore[[#This Row],[Student Email]])</f>
        <v>jinnipa.lee@student.mahidol.ac.th</v>
      </c>
    </row>
    <row r="882" spans="1:29" ht="27">
      <c r="A882" s="15"/>
      <c r="B882" s="27">
        <f t="shared" si="48"/>
        <v>65</v>
      </c>
      <c r="C882" s="27">
        <f t="shared" si="49"/>
        <v>2025</v>
      </c>
      <c r="D882" s="54"/>
      <c r="E882" s="19">
        <v>6588153</v>
      </c>
      <c r="F882" s="20" t="s">
        <v>38</v>
      </c>
      <c r="G882" s="20" t="s">
        <v>3365</v>
      </c>
      <c r="H882" s="32" t="s">
        <v>3366</v>
      </c>
      <c r="I882" s="25" t="s">
        <v>124</v>
      </c>
      <c r="J882" s="25">
        <v>6.5</v>
      </c>
      <c r="K882" s="25">
        <v>7.5</v>
      </c>
      <c r="L882" s="25">
        <v>7</v>
      </c>
      <c r="M882" s="25">
        <v>5.5</v>
      </c>
      <c r="N882" s="25">
        <v>5.5</v>
      </c>
      <c r="O882" s="25"/>
      <c r="P882" s="25"/>
      <c r="Q882" s="25"/>
      <c r="R882" s="25"/>
      <c r="S882" s="26">
        <v>44533</v>
      </c>
      <c r="T882" s="26">
        <v>44866</v>
      </c>
      <c r="U882" s="25"/>
      <c r="V882" s="25"/>
      <c r="W882" s="59" t="s">
        <v>3367</v>
      </c>
      <c r="X882" s="25" t="s">
        <v>3368</v>
      </c>
      <c r="Y882" s="42">
        <v>44866.667627314811</v>
      </c>
      <c r="Z882" s="25" t="s">
        <v>3369</v>
      </c>
      <c r="AA882" s="40"/>
      <c r="AB882" s="40"/>
      <c r="AC882" s="25" t="str">
        <f>TRIM(StudentScore[[#This Row],[Student Email]])</f>
        <v>anecha.pra@student.mahidol.ac.th</v>
      </c>
    </row>
    <row r="883" spans="1:29" ht="27">
      <c r="A883" s="15"/>
      <c r="B883" s="27">
        <f t="shared" si="48"/>
        <v>65</v>
      </c>
      <c r="C883" s="27">
        <f t="shared" si="49"/>
        <v>2025</v>
      </c>
      <c r="D883" s="54"/>
      <c r="E883" s="19">
        <v>6588158</v>
      </c>
      <c r="F883" s="20" t="s">
        <v>38</v>
      </c>
      <c r="G883" s="20" t="s">
        <v>3370</v>
      </c>
      <c r="H883" s="32" t="s">
        <v>3371</v>
      </c>
      <c r="I883" s="25" t="s">
        <v>41</v>
      </c>
      <c r="J883" s="25">
        <v>557</v>
      </c>
      <c r="K883" s="25">
        <v>57</v>
      </c>
      <c r="L883" s="25">
        <v>57</v>
      </c>
      <c r="M883" s="25">
        <v>53</v>
      </c>
      <c r="N883" s="25"/>
      <c r="O883" s="25"/>
      <c r="P883" s="25"/>
      <c r="Q883" s="25"/>
      <c r="R883" s="25"/>
      <c r="S883" s="26">
        <v>44754</v>
      </c>
      <c r="T883" s="26">
        <v>44774</v>
      </c>
      <c r="U883" s="25" t="s">
        <v>2261</v>
      </c>
      <c r="V883" s="25"/>
      <c r="W883" s="59" t="s">
        <v>3372</v>
      </c>
      <c r="X883" s="25" t="s">
        <v>3373</v>
      </c>
      <c r="Y883" s="25"/>
      <c r="Z883" s="25"/>
      <c r="AA883" s="40"/>
      <c r="AB883" s="40"/>
      <c r="AC883" s="25" t="str">
        <f>TRIM(StudentScore[[#This Row],[Student Email]])</f>
        <v>pawat.suk@student.mahidol.ac.th</v>
      </c>
    </row>
    <row r="884" spans="1:29" ht="27">
      <c r="A884" s="15"/>
      <c r="B884" s="27">
        <f t="shared" si="48"/>
        <v>65</v>
      </c>
      <c r="C884" s="27">
        <f t="shared" si="49"/>
        <v>2025</v>
      </c>
      <c r="D884" s="54"/>
      <c r="E884" s="19">
        <v>6588159</v>
      </c>
      <c r="F884" s="20" t="s">
        <v>117</v>
      </c>
      <c r="G884" s="20" t="s">
        <v>3374</v>
      </c>
      <c r="H884" s="32" t="s">
        <v>3375</v>
      </c>
      <c r="I884" s="25" t="s">
        <v>124</v>
      </c>
      <c r="J884" s="25">
        <v>6.5</v>
      </c>
      <c r="K884" s="25">
        <v>7</v>
      </c>
      <c r="L884" s="25">
        <v>6.5</v>
      </c>
      <c r="M884" s="25">
        <v>6</v>
      </c>
      <c r="N884" s="25">
        <v>5.5</v>
      </c>
      <c r="O884" s="25"/>
      <c r="P884" s="25"/>
      <c r="Q884" s="25"/>
      <c r="R884" s="25"/>
      <c r="S884" s="26">
        <v>44372</v>
      </c>
      <c r="T884" s="26">
        <v>44853</v>
      </c>
      <c r="U884" s="25"/>
      <c r="V884" s="25"/>
      <c r="W884" s="59" t="s">
        <v>3376</v>
      </c>
      <c r="X884" s="25" t="s">
        <v>3377</v>
      </c>
      <c r="Y884" s="42">
        <v>44853.624872685185</v>
      </c>
      <c r="Z884" s="25" t="s">
        <v>3378</v>
      </c>
      <c r="AA884" s="40"/>
      <c r="AB884" s="40"/>
      <c r="AC884" s="25" t="str">
        <f>TRIM(StudentScore[[#This Row],[Student Email]])</f>
        <v>aleenta.tan@student.mahidol.ac.th</v>
      </c>
    </row>
    <row r="885" spans="1:29" ht="27">
      <c r="A885" s="15"/>
      <c r="B885" s="27">
        <f t="shared" si="48"/>
        <v>65</v>
      </c>
      <c r="C885" s="27">
        <f t="shared" si="49"/>
        <v>2025</v>
      </c>
      <c r="D885" s="54"/>
      <c r="E885" s="19">
        <v>6588160</v>
      </c>
      <c r="F885" s="20" t="s">
        <v>38</v>
      </c>
      <c r="G885" s="20" t="s">
        <v>1169</v>
      </c>
      <c r="H885" s="32" t="s">
        <v>3379</v>
      </c>
      <c r="I885" s="25" t="s">
        <v>41</v>
      </c>
      <c r="J885" s="25">
        <v>530</v>
      </c>
      <c r="K885" s="25">
        <v>60</v>
      </c>
      <c r="L885" s="25">
        <v>53</v>
      </c>
      <c r="M885" s="25">
        <v>46</v>
      </c>
      <c r="N885" s="25"/>
      <c r="O885" s="25"/>
      <c r="P885" s="25"/>
      <c r="Q885" s="25"/>
      <c r="R885" s="25"/>
      <c r="S885" s="26">
        <v>44754</v>
      </c>
      <c r="T885" s="26">
        <v>44774</v>
      </c>
      <c r="U885" s="25" t="s">
        <v>2261</v>
      </c>
      <c r="V885" s="25"/>
      <c r="W885" s="59" t="s">
        <v>3380</v>
      </c>
      <c r="X885" s="25" t="s">
        <v>3381</v>
      </c>
      <c r="Y885" s="25"/>
      <c r="Z885" s="25"/>
      <c r="AA885" s="40"/>
      <c r="AB885" s="40"/>
      <c r="AC885" s="25" t="str">
        <f>TRIM(StudentScore[[#This Row],[Student Email]])</f>
        <v>kantapon.tan@student.mahidol.ac.th</v>
      </c>
    </row>
    <row r="886" spans="1:29" ht="27">
      <c r="A886" s="15"/>
      <c r="B886" s="27">
        <f t="shared" si="48"/>
        <v>65</v>
      </c>
      <c r="C886" s="27">
        <f t="shared" si="49"/>
        <v>2025</v>
      </c>
      <c r="D886" s="54"/>
      <c r="E886" s="19">
        <v>6588161</v>
      </c>
      <c r="F886" s="20" t="s">
        <v>117</v>
      </c>
      <c r="G886" s="20" t="s">
        <v>1312</v>
      </c>
      <c r="H886" s="32" t="s">
        <v>3382</v>
      </c>
      <c r="I886" s="25" t="s">
        <v>48</v>
      </c>
      <c r="J886" s="25">
        <v>820</v>
      </c>
      <c r="K886" s="25">
        <v>445</v>
      </c>
      <c r="L886" s="25">
        <v>375</v>
      </c>
      <c r="M886" s="25"/>
      <c r="N886" s="25"/>
      <c r="O886" s="25"/>
      <c r="P886" s="25"/>
      <c r="Q886" s="25"/>
      <c r="R886" s="25"/>
      <c r="S886" s="35">
        <v>44548</v>
      </c>
      <c r="T886" s="51">
        <v>44774</v>
      </c>
      <c r="U886" s="25"/>
      <c r="V886" s="25"/>
      <c r="W886" s="59" t="s">
        <v>3383</v>
      </c>
      <c r="X886" s="25" t="s">
        <v>3384</v>
      </c>
      <c r="Y886" s="25"/>
      <c r="Z886" s="25"/>
      <c r="AA886" s="40"/>
      <c r="AB886" s="40"/>
      <c r="AC886" s="25" t="str">
        <f>TRIM(StudentScore[[#This Row],[Student Email]])</f>
        <v>nattapat.tho@student.mahidol.ac.th</v>
      </c>
    </row>
    <row r="887" spans="1:29" ht="27">
      <c r="A887" s="15"/>
      <c r="B887" s="27">
        <f t="shared" si="48"/>
        <v>65</v>
      </c>
      <c r="C887" s="27">
        <f t="shared" si="49"/>
        <v>2025</v>
      </c>
      <c r="D887" s="54"/>
      <c r="E887" s="19">
        <v>6588164</v>
      </c>
      <c r="F887" s="20" t="s">
        <v>117</v>
      </c>
      <c r="G887" s="20" t="s">
        <v>3385</v>
      </c>
      <c r="H887" s="32" t="s">
        <v>3386</v>
      </c>
      <c r="I887" s="25" t="s">
        <v>64</v>
      </c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59" t="s">
        <v>3387</v>
      </c>
      <c r="X887" s="25" t="s">
        <v>3388</v>
      </c>
      <c r="Y887" s="25"/>
      <c r="Z887" s="25"/>
      <c r="AA887" s="40"/>
      <c r="AB887" s="40"/>
      <c r="AC887" s="25" t="str">
        <f>TRIM(StudentScore[[#This Row],[Student Email]])</f>
        <v>thonthan.aru@student.mahidol.ac.th</v>
      </c>
    </row>
    <row r="888" spans="1:29" ht="27">
      <c r="A888" s="15"/>
      <c r="B888" s="27">
        <f t="shared" si="48"/>
        <v>65</v>
      </c>
      <c r="C888" s="27">
        <f t="shared" si="49"/>
        <v>2025</v>
      </c>
      <c r="D888" s="54"/>
      <c r="E888" s="19">
        <v>6588166</v>
      </c>
      <c r="F888" s="20" t="s">
        <v>38</v>
      </c>
      <c r="G888" s="20" t="s">
        <v>3389</v>
      </c>
      <c r="H888" s="32" t="s">
        <v>3390</v>
      </c>
      <c r="I888" s="25" t="s">
        <v>64</v>
      </c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59" t="s">
        <v>3391</v>
      </c>
      <c r="X888" s="25" t="s">
        <v>3392</v>
      </c>
      <c r="Y888" s="25"/>
      <c r="Z888" s="25"/>
      <c r="AA888" s="40"/>
      <c r="AB888" s="40"/>
      <c r="AC888" s="25" t="str">
        <f>TRIM(StudentScore[[#This Row],[Student Email]])</f>
        <v>jesadakom.che@student.mahidol.ac.th</v>
      </c>
    </row>
    <row r="889" spans="1:29" ht="27">
      <c r="A889" s="15"/>
      <c r="B889" s="27">
        <f t="shared" si="48"/>
        <v>65</v>
      </c>
      <c r="C889" s="27">
        <f t="shared" si="49"/>
        <v>2025</v>
      </c>
      <c r="D889" s="54"/>
      <c r="E889" s="19">
        <v>6588167</v>
      </c>
      <c r="F889" s="20" t="s">
        <v>38</v>
      </c>
      <c r="G889" s="20" t="s">
        <v>447</v>
      </c>
      <c r="H889" s="32" t="s">
        <v>3393</v>
      </c>
      <c r="I889" s="25" t="s">
        <v>41</v>
      </c>
      <c r="J889" s="25">
        <v>530</v>
      </c>
      <c r="K889" s="25">
        <v>60</v>
      </c>
      <c r="L889" s="25">
        <v>53</v>
      </c>
      <c r="M889" s="25">
        <v>46</v>
      </c>
      <c r="N889" s="25"/>
      <c r="O889" s="25"/>
      <c r="P889" s="25"/>
      <c r="Q889" s="25"/>
      <c r="R889" s="25"/>
      <c r="S889" s="26">
        <v>44754</v>
      </c>
      <c r="T889" s="26">
        <v>44774</v>
      </c>
      <c r="U889" s="25" t="s">
        <v>2261</v>
      </c>
      <c r="V889" s="25"/>
      <c r="W889" s="59" t="s">
        <v>3394</v>
      </c>
      <c r="X889" s="25" t="s">
        <v>3395</v>
      </c>
      <c r="Y889" s="25"/>
      <c r="Z889" s="25"/>
      <c r="AA889" s="40"/>
      <c r="AB889" s="40"/>
      <c r="AC889" s="25" t="str">
        <f>TRIM(StudentScore[[#This Row],[Student Email]])</f>
        <v>napat.chl@student.mahidol.ac.th</v>
      </c>
    </row>
    <row r="890" spans="1:29" ht="27">
      <c r="A890" s="15"/>
      <c r="B890" s="27">
        <f t="shared" si="48"/>
        <v>65</v>
      </c>
      <c r="C890" s="27">
        <f t="shared" si="49"/>
        <v>2025</v>
      </c>
      <c r="D890" s="54"/>
      <c r="E890" s="19">
        <v>6588168</v>
      </c>
      <c r="F890" s="20" t="s">
        <v>117</v>
      </c>
      <c r="G890" s="20" t="s">
        <v>3396</v>
      </c>
      <c r="H890" s="32" t="s">
        <v>3397</v>
      </c>
      <c r="I890" s="25" t="s">
        <v>124</v>
      </c>
      <c r="J890" s="25">
        <v>5.5</v>
      </c>
      <c r="K890" s="25">
        <v>6</v>
      </c>
      <c r="L890" s="25">
        <v>5</v>
      </c>
      <c r="M890" s="25">
        <v>5.5</v>
      </c>
      <c r="N890" s="25">
        <v>5.5</v>
      </c>
      <c r="O890" s="25"/>
      <c r="P890" s="25"/>
      <c r="Q890" s="25"/>
      <c r="R890" s="25"/>
      <c r="S890" s="26">
        <v>44527</v>
      </c>
      <c r="T890" s="26">
        <v>44805</v>
      </c>
      <c r="U890" s="25"/>
      <c r="V890" s="25"/>
      <c r="W890" s="59" t="s">
        <v>3398</v>
      </c>
      <c r="X890" s="25" t="s">
        <v>3399</v>
      </c>
      <c r="Y890" s="42">
        <v>44803.535000000003</v>
      </c>
      <c r="Z890" s="25" t="s">
        <v>3400</v>
      </c>
      <c r="AA890" s="40"/>
      <c r="AB890" s="40"/>
      <c r="AC890" s="25" t="str">
        <f>TRIM(StudentScore[[#This Row],[Student Email]])</f>
        <v>vichaya.cho@student.mahidol.ac.th</v>
      </c>
    </row>
    <row r="891" spans="1:29" ht="27">
      <c r="A891" s="15"/>
      <c r="B891" s="27">
        <f t="shared" si="48"/>
        <v>65</v>
      </c>
      <c r="C891" s="27">
        <f t="shared" si="49"/>
        <v>2025</v>
      </c>
      <c r="D891" s="54"/>
      <c r="E891" s="19">
        <v>6588169</v>
      </c>
      <c r="F891" s="20" t="s">
        <v>117</v>
      </c>
      <c r="G891" s="20" t="s">
        <v>3401</v>
      </c>
      <c r="H891" s="32" t="s">
        <v>3402</v>
      </c>
      <c r="I891" s="25" t="s">
        <v>53</v>
      </c>
      <c r="J891" s="25">
        <v>91</v>
      </c>
      <c r="K891" s="25">
        <v>37</v>
      </c>
      <c r="L891" s="25">
        <v>54</v>
      </c>
      <c r="M891" s="25"/>
      <c r="N891" s="25"/>
      <c r="O891" s="25"/>
      <c r="P891" s="25"/>
      <c r="Q891" s="25"/>
      <c r="R891" s="25"/>
      <c r="S891" s="26">
        <v>44737</v>
      </c>
      <c r="T891" s="51">
        <v>44835</v>
      </c>
      <c r="U891" s="25"/>
      <c r="V891" s="25"/>
      <c r="W891" s="59" t="s">
        <v>3403</v>
      </c>
      <c r="X891" s="25" t="s">
        <v>3404</v>
      </c>
      <c r="Y891" s="25"/>
      <c r="Z891" s="25"/>
      <c r="AA891" s="40"/>
      <c r="AB891" s="40"/>
      <c r="AC891" s="25" t="str">
        <f>TRIM(StudentScore[[#This Row],[Student Email]])</f>
        <v>chananphimon.chu@student.mahidol.ac.th</v>
      </c>
    </row>
    <row r="892" spans="1:29" ht="27">
      <c r="A892" s="15"/>
      <c r="B892" s="27">
        <f t="shared" si="48"/>
        <v>65</v>
      </c>
      <c r="C892" s="27">
        <f t="shared" si="49"/>
        <v>2025</v>
      </c>
      <c r="D892" s="54"/>
      <c r="E892" s="19">
        <v>6588170</v>
      </c>
      <c r="F892" s="20" t="s">
        <v>38</v>
      </c>
      <c r="G892" s="20" t="s">
        <v>3405</v>
      </c>
      <c r="H892" s="32" t="s">
        <v>3406</v>
      </c>
      <c r="I892" s="25" t="s">
        <v>41</v>
      </c>
      <c r="J892" s="25">
        <v>573</v>
      </c>
      <c r="K892" s="25">
        <v>59</v>
      </c>
      <c r="L892" s="25">
        <v>57</v>
      </c>
      <c r="M892" s="25">
        <v>56</v>
      </c>
      <c r="N892" s="25"/>
      <c r="O892" s="25"/>
      <c r="P892" s="25"/>
      <c r="Q892" s="25"/>
      <c r="R892" s="25"/>
      <c r="S892" s="26">
        <v>44754</v>
      </c>
      <c r="T892" s="26">
        <v>44774</v>
      </c>
      <c r="U892" s="25" t="s">
        <v>2261</v>
      </c>
      <c r="V892" s="25"/>
      <c r="W892" s="59" t="s">
        <v>3407</v>
      </c>
      <c r="X892" s="25" t="s">
        <v>3408</v>
      </c>
      <c r="Y892" s="25"/>
      <c r="Z892" s="25"/>
      <c r="AA892" s="40"/>
      <c r="AB892" s="40"/>
      <c r="AC892" s="25" t="str">
        <f>TRIM(StudentScore[[#This Row],[Student Email]])</f>
        <v>peteingthanin.haj@student.mahidol.ac.th</v>
      </c>
    </row>
    <row r="893" spans="1:29" ht="27">
      <c r="A893" s="15"/>
      <c r="B893" s="27">
        <f t="shared" si="48"/>
        <v>65</v>
      </c>
      <c r="C893" s="27">
        <f t="shared" si="49"/>
        <v>2025</v>
      </c>
      <c r="D893" s="54"/>
      <c r="E893" s="19">
        <v>6588171</v>
      </c>
      <c r="F893" s="20" t="s">
        <v>38</v>
      </c>
      <c r="G893" s="20" t="s">
        <v>3409</v>
      </c>
      <c r="H893" s="32" t="s">
        <v>3410</v>
      </c>
      <c r="I893" s="25" t="s">
        <v>41</v>
      </c>
      <c r="J893" s="25">
        <v>637</v>
      </c>
      <c r="K893" s="25">
        <v>64</v>
      </c>
      <c r="L893" s="25">
        <v>63</v>
      </c>
      <c r="M893" s="25">
        <v>64</v>
      </c>
      <c r="N893" s="25"/>
      <c r="O893" s="25"/>
      <c r="P893" s="25"/>
      <c r="Q893" s="25"/>
      <c r="R893" s="25"/>
      <c r="S893" s="26">
        <v>44754</v>
      </c>
      <c r="T893" s="26">
        <v>44774</v>
      </c>
      <c r="U893" s="25" t="s">
        <v>2261</v>
      </c>
      <c r="V893" s="25"/>
      <c r="W893" s="59" t="s">
        <v>3411</v>
      </c>
      <c r="X893" s="25" t="s">
        <v>3412</v>
      </c>
      <c r="Y893" s="25"/>
      <c r="Z893" s="25"/>
      <c r="AA893" s="40"/>
      <c r="AB893" s="40"/>
      <c r="AC893" s="25" t="str">
        <f>TRIM(StudentScore[[#This Row],[Student Email]])</f>
        <v>thanop.het@student.mahidol.ac.th</v>
      </c>
    </row>
    <row r="894" spans="1:29" ht="27">
      <c r="A894" s="15"/>
      <c r="B894" s="27">
        <f t="shared" si="48"/>
        <v>65</v>
      </c>
      <c r="C894" s="27">
        <f t="shared" si="49"/>
        <v>2025</v>
      </c>
      <c r="D894" s="54"/>
      <c r="E894" s="19">
        <v>6588172</v>
      </c>
      <c r="F894" s="20" t="s">
        <v>38</v>
      </c>
      <c r="G894" s="20" t="s">
        <v>3413</v>
      </c>
      <c r="H894" s="32" t="s">
        <v>3414</v>
      </c>
      <c r="I894" s="25" t="s">
        <v>64</v>
      </c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59" t="s">
        <v>3415</v>
      </c>
      <c r="X894" s="25" t="s">
        <v>3416</v>
      </c>
      <c r="Y894" s="25"/>
      <c r="Z894" s="25"/>
      <c r="AA894" s="40"/>
      <c r="AB894" s="40"/>
      <c r="AC894" s="25" t="str">
        <f>TRIM(StudentScore[[#This Row],[Student Email]])</f>
        <v>yanaphat.jum@student.mahidol.ac.th</v>
      </c>
    </row>
    <row r="895" spans="1:29" ht="27">
      <c r="A895" s="15"/>
      <c r="B895" s="27">
        <f t="shared" si="48"/>
        <v>65</v>
      </c>
      <c r="C895" s="27">
        <f t="shared" si="49"/>
        <v>2025</v>
      </c>
      <c r="D895" s="54"/>
      <c r="E895" s="19">
        <v>6588173</v>
      </c>
      <c r="F895" s="20" t="s">
        <v>38</v>
      </c>
      <c r="G895" s="20" t="s">
        <v>3417</v>
      </c>
      <c r="H895" s="32" t="s">
        <v>3418</v>
      </c>
      <c r="I895" s="25" t="s">
        <v>64</v>
      </c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59" t="s">
        <v>3419</v>
      </c>
      <c r="X895" s="25" t="s">
        <v>3420</v>
      </c>
      <c r="Y895" s="25"/>
      <c r="Z895" s="25"/>
      <c r="AA895" s="40"/>
      <c r="AB895" s="40"/>
      <c r="AC895" s="25" t="str">
        <f>TRIM(StudentScore[[#This Row],[Student Email]])</f>
        <v>parkait.kai@student.mahidol.ac.th</v>
      </c>
    </row>
    <row r="896" spans="1:29" ht="27">
      <c r="A896" s="15"/>
      <c r="B896" s="27">
        <f t="shared" si="48"/>
        <v>65</v>
      </c>
      <c r="C896" s="27">
        <f t="shared" si="49"/>
        <v>2025</v>
      </c>
      <c r="D896" s="54"/>
      <c r="E896" s="19">
        <v>6588174</v>
      </c>
      <c r="F896" s="20" t="s">
        <v>117</v>
      </c>
      <c r="G896" s="20" t="s">
        <v>3421</v>
      </c>
      <c r="H896" s="32" t="s">
        <v>3422</v>
      </c>
      <c r="I896" s="25" t="s">
        <v>53</v>
      </c>
      <c r="J896" s="25">
        <v>101</v>
      </c>
      <c r="K896" s="25">
        <v>48</v>
      </c>
      <c r="L896" s="25">
        <v>53</v>
      </c>
      <c r="M896" s="25"/>
      <c r="N896" s="25"/>
      <c r="O896" s="25"/>
      <c r="P896" s="25"/>
      <c r="Q896" s="25"/>
      <c r="R896" s="25"/>
      <c r="S896" s="26">
        <v>44744</v>
      </c>
      <c r="T896" s="26">
        <v>44879</v>
      </c>
      <c r="U896" s="25"/>
      <c r="V896" s="25"/>
      <c r="W896" s="59" t="s">
        <v>3423</v>
      </c>
      <c r="X896" s="25" t="s">
        <v>3424</v>
      </c>
      <c r="Y896" s="42">
        <v>44879.619571759256</v>
      </c>
      <c r="Z896" s="25" t="s">
        <v>3425</v>
      </c>
      <c r="AA896" s="40"/>
      <c r="AB896" s="40"/>
      <c r="AC896" s="25" t="str">
        <f>TRIM(StudentScore[[#This Row],[Student Email]])</f>
        <v>thitiwan.kea@student.mahidol.ac.th</v>
      </c>
    </row>
    <row r="897" spans="1:29" ht="27">
      <c r="A897" s="15"/>
      <c r="B897" s="27">
        <f t="shared" si="48"/>
        <v>65</v>
      </c>
      <c r="C897" s="27">
        <f t="shared" si="49"/>
        <v>2025</v>
      </c>
      <c r="D897" s="54"/>
      <c r="E897" s="19">
        <v>6588175</v>
      </c>
      <c r="F897" s="20" t="s">
        <v>117</v>
      </c>
      <c r="G897" s="20" t="s">
        <v>3426</v>
      </c>
      <c r="H897" s="32" t="s">
        <v>3427</v>
      </c>
      <c r="I897" s="25" t="s">
        <v>48</v>
      </c>
      <c r="J897" s="25">
        <v>705</v>
      </c>
      <c r="K897" s="25">
        <v>390</v>
      </c>
      <c r="L897" s="25">
        <v>315</v>
      </c>
      <c r="M897" s="25"/>
      <c r="N897" s="25"/>
      <c r="O897" s="25"/>
      <c r="P897" s="25"/>
      <c r="Q897" s="25"/>
      <c r="R897" s="25"/>
      <c r="S897" s="35">
        <v>45028</v>
      </c>
      <c r="T897" s="35">
        <v>45041</v>
      </c>
      <c r="U897" s="25"/>
      <c r="V897" s="25"/>
      <c r="W897" s="59" t="s">
        <v>3428</v>
      </c>
      <c r="X897" s="25" t="s">
        <v>3429</v>
      </c>
      <c r="Y897" s="25"/>
      <c r="Z897" s="25"/>
      <c r="AA897" s="40"/>
      <c r="AB897" s="40"/>
      <c r="AC897" s="25" t="str">
        <f>TRIM(StudentScore[[#This Row],[Student Email]])</f>
        <v>pakjira.kha@student.mahidol.ac.th</v>
      </c>
    </row>
    <row r="898" spans="1:29" ht="27">
      <c r="A898" s="15"/>
      <c r="B898" s="27">
        <f t="shared" si="48"/>
        <v>65</v>
      </c>
      <c r="C898" s="27">
        <f t="shared" si="49"/>
        <v>2025</v>
      </c>
      <c r="D898" s="54"/>
      <c r="E898" s="19">
        <v>6588176</v>
      </c>
      <c r="F898" s="20" t="s">
        <v>117</v>
      </c>
      <c r="G898" s="20" t="s">
        <v>3430</v>
      </c>
      <c r="H898" s="32" t="s">
        <v>3431</v>
      </c>
      <c r="I898" s="25" t="s">
        <v>64</v>
      </c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59" t="s">
        <v>3432</v>
      </c>
      <c r="X898" s="25" t="s">
        <v>3433</v>
      </c>
      <c r="Y898" s="25"/>
      <c r="Z898" s="25"/>
      <c r="AA898" s="40"/>
      <c r="AB898" s="40"/>
      <c r="AC898" s="25" t="str">
        <f>TRIM(StudentScore[[#This Row],[Student Email]])</f>
        <v>suwichada.kie@student.mahidol.ac.th</v>
      </c>
    </row>
    <row r="899" spans="1:29" ht="27">
      <c r="A899" s="15"/>
      <c r="B899" s="27">
        <f t="shared" si="48"/>
        <v>65</v>
      </c>
      <c r="C899" s="27">
        <f t="shared" si="49"/>
        <v>2025</v>
      </c>
      <c r="D899" s="54"/>
      <c r="E899" s="19">
        <v>6588177</v>
      </c>
      <c r="F899" s="20" t="s">
        <v>117</v>
      </c>
      <c r="G899" s="20" t="s">
        <v>1309</v>
      </c>
      <c r="H899" s="32" t="s">
        <v>3434</v>
      </c>
      <c r="I899" s="25" t="s">
        <v>48</v>
      </c>
      <c r="J899" s="25">
        <v>625</v>
      </c>
      <c r="K899" s="25">
        <v>330</v>
      </c>
      <c r="L899" s="25">
        <v>295</v>
      </c>
      <c r="M899" s="25"/>
      <c r="N899" s="25"/>
      <c r="O899" s="25"/>
      <c r="P899" s="25"/>
      <c r="Q899" s="25"/>
      <c r="R899" s="25"/>
      <c r="S899" s="35">
        <v>44597</v>
      </c>
      <c r="T899" s="51">
        <v>44774</v>
      </c>
      <c r="U899" s="25"/>
      <c r="V899" s="25"/>
      <c r="W899" s="59" t="s">
        <v>3435</v>
      </c>
      <c r="X899" s="25" t="s">
        <v>3436</v>
      </c>
      <c r="Y899" s="25"/>
      <c r="Z899" s="25"/>
      <c r="AA899" s="40"/>
      <c r="AB899" s="40"/>
      <c r="AC899" s="25" t="str">
        <f>TRIM(StudentScore[[#This Row],[Student Email]])</f>
        <v>natnicha.kii@student.mahidol.ac.th</v>
      </c>
    </row>
    <row r="900" spans="1:29" ht="27">
      <c r="A900" s="15"/>
      <c r="B900" s="27">
        <f t="shared" si="48"/>
        <v>65</v>
      </c>
      <c r="C900" s="27">
        <f t="shared" si="49"/>
        <v>2025</v>
      </c>
      <c r="D900" s="54"/>
      <c r="E900" s="19">
        <v>6588178</v>
      </c>
      <c r="F900" s="20" t="s">
        <v>117</v>
      </c>
      <c r="G900" s="20" t="s">
        <v>3437</v>
      </c>
      <c r="H900" s="32" t="s">
        <v>3438</v>
      </c>
      <c r="I900" s="25" t="s">
        <v>64</v>
      </c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59" t="s">
        <v>3439</v>
      </c>
      <c r="X900" s="25" t="s">
        <v>3440</v>
      </c>
      <c r="Y900" s="25"/>
      <c r="Z900" s="25"/>
      <c r="AA900" s="40"/>
      <c r="AB900" s="40"/>
      <c r="AC900" s="25" t="str">
        <f>TRIM(StudentScore[[#This Row],[Student Email]])</f>
        <v>nichakul.kon@student.mahidol.ac.th</v>
      </c>
    </row>
    <row r="901" spans="1:29" ht="27">
      <c r="A901" s="15"/>
      <c r="B901" s="27">
        <f t="shared" si="48"/>
        <v>65</v>
      </c>
      <c r="C901" s="27">
        <f t="shared" si="49"/>
        <v>2025</v>
      </c>
      <c r="D901" s="54"/>
      <c r="E901" s="19">
        <v>6588179</v>
      </c>
      <c r="F901" s="20" t="s">
        <v>38</v>
      </c>
      <c r="G901" s="20" t="s">
        <v>3441</v>
      </c>
      <c r="H901" s="32" t="s">
        <v>3442</v>
      </c>
      <c r="I901" s="25" t="s">
        <v>64</v>
      </c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59" t="s">
        <v>3443</v>
      </c>
      <c r="X901" s="25" t="s">
        <v>3444</v>
      </c>
      <c r="Y901" s="25"/>
      <c r="Z901" s="25"/>
      <c r="AA901" s="40"/>
      <c r="AB901" s="40"/>
      <c r="AC901" s="25" t="str">
        <f>TRIM(StudentScore[[#This Row],[Student Email]])</f>
        <v>punnathorn.lao@student.mahidol.ac.th</v>
      </c>
    </row>
    <row r="902" spans="1:29" ht="27">
      <c r="A902" s="15"/>
      <c r="B902" s="27">
        <f t="shared" si="48"/>
        <v>65</v>
      </c>
      <c r="C902" s="27">
        <f t="shared" si="49"/>
        <v>2025</v>
      </c>
      <c r="D902" s="54"/>
      <c r="E902" s="19">
        <v>6588180</v>
      </c>
      <c r="F902" s="20" t="s">
        <v>38</v>
      </c>
      <c r="G902" s="20" t="s">
        <v>3445</v>
      </c>
      <c r="H902" s="32" t="s">
        <v>3446</v>
      </c>
      <c r="I902" s="25" t="s">
        <v>53</v>
      </c>
      <c r="J902" s="25">
        <v>93</v>
      </c>
      <c r="K902" s="25">
        <v>52</v>
      </c>
      <c r="L902" s="25">
        <v>41</v>
      </c>
      <c r="M902" s="25"/>
      <c r="N902" s="25"/>
      <c r="O902" s="25"/>
      <c r="P902" s="25"/>
      <c r="Q902" s="25"/>
      <c r="R902" s="25"/>
      <c r="S902" s="35">
        <v>44731</v>
      </c>
      <c r="T902" s="51">
        <v>44835</v>
      </c>
      <c r="U902" s="25"/>
      <c r="V902" s="25"/>
      <c r="W902" s="59" t="s">
        <v>3447</v>
      </c>
      <c r="X902" s="25" t="s">
        <v>3448</v>
      </c>
      <c r="Y902" s="25"/>
      <c r="Z902" s="25"/>
      <c r="AA902" s="40"/>
      <c r="AB902" s="40"/>
      <c r="AC902" s="25" t="str">
        <f>TRIM(StudentScore[[#This Row],[Student Email]])</f>
        <v>nithimeth.man@student.mahidol.ac.th</v>
      </c>
    </row>
    <row r="903" spans="1:29" ht="27">
      <c r="A903" s="15"/>
      <c r="B903" s="27">
        <f t="shared" si="48"/>
        <v>65</v>
      </c>
      <c r="C903" s="27">
        <f t="shared" si="49"/>
        <v>2025</v>
      </c>
      <c r="D903" s="54"/>
      <c r="E903" s="19">
        <v>6588181</v>
      </c>
      <c r="F903" s="20" t="s">
        <v>117</v>
      </c>
      <c r="G903" s="20" t="s">
        <v>3449</v>
      </c>
      <c r="H903" s="32" t="s">
        <v>3450</v>
      </c>
      <c r="I903" s="25" t="s">
        <v>64</v>
      </c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59" t="s">
        <v>3451</v>
      </c>
      <c r="X903" s="25" t="s">
        <v>3452</v>
      </c>
      <c r="Y903" s="25"/>
      <c r="Z903" s="25"/>
      <c r="AA903" s="40"/>
      <c r="AB903" s="40"/>
      <c r="AC903" s="25" t="str">
        <f>TRIM(StudentScore[[#This Row],[Student Email]])</f>
        <v>nimmida.man@student.mahidol.ac.th</v>
      </c>
    </row>
    <row r="904" spans="1:29" ht="27">
      <c r="A904" s="15"/>
      <c r="B904" s="27">
        <f t="shared" si="48"/>
        <v>65</v>
      </c>
      <c r="C904" s="27">
        <f t="shared" si="49"/>
        <v>2025</v>
      </c>
      <c r="D904" s="54"/>
      <c r="E904" s="19">
        <v>6588182</v>
      </c>
      <c r="F904" s="20" t="s">
        <v>38</v>
      </c>
      <c r="G904" s="20" t="s">
        <v>3453</v>
      </c>
      <c r="H904" s="32" t="s">
        <v>1958</v>
      </c>
      <c r="I904" s="25" t="s">
        <v>64</v>
      </c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59" t="s">
        <v>3454</v>
      </c>
      <c r="X904" s="25" t="s">
        <v>3455</v>
      </c>
      <c r="Y904" s="25"/>
      <c r="Z904" s="25"/>
      <c r="AA904" s="40"/>
      <c r="AB904" s="40"/>
      <c r="AC904" s="25" t="str">
        <f>TRIM(StudentScore[[#This Row],[Student Email]])</f>
        <v>sittikorn.man@student.mahidol.ac.th</v>
      </c>
    </row>
    <row r="905" spans="1:29" ht="27">
      <c r="A905" s="15"/>
      <c r="B905" s="27">
        <f t="shared" si="48"/>
        <v>65</v>
      </c>
      <c r="C905" s="27">
        <f t="shared" si="49"/>
        <v>2025</v>
      </c>
      <c r="D905" s="54"/>
      <c r="E905" s="19">
        <v>6588183</v>
      </c>
      <c r="F905" s="20" t="s">
        <v>117</v>
      </c>
      <c r="G905" s="20" t="s">
        <v>3456</v>
      </c>
      <c r="H905" s="32" t="s">
        <v>3457</v>
      </c>
      <c r="I905" s="25" t="s">
        <v>64</v>
      </c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59" t="s">
        <v>3458</v>
      </c>
      <c r="X905" s="25" t="s">
        <v>3459</v>
      </c>
      <c r="Y905" s="25"/>
      <c r="Z905" s="25"/>
      <c r="AA905" s="40"/>
      <c r="AB905" s="40"/>
      <c r="AC905" s="25" t="str">
        <f>TRIM(StudentScore[[#This Row],[Student Email]])</f>
        <v>achiraya.mak@student.mahidol.ac.th</v>
      </c>
    </row>
    <row r="906" spans="1:29" ht="27">
      <c r="A906" s="15"/>
      <c r="B906" s="27">
        <f t="shared" si="48"/>
        <v>65</v>
      </c>
      <c r="C906" s="27">
        <f t="shared" si="49"/>
        <v>2025</v>
      </c>
      <c r="D906" s="54"/>
      <c r="E906" s="19">
        <v>6588184</v>
      </c>
      <c r="F906" s="20" t="s">
        <v>117</v>
      </c>
      <c r="G906" s="20" t="s">
        <v>3460</v>
      </c>
      <c r="H906" s="32" t="s">
        <v>3461</v>
      </c>
      <c r="I906" s="25" t="s">
        <v>64</v>
      </c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59" t="s">
        <v>3462</v>
      </c>
      <c r="X906" s="25" t="s">
        <v>3463</v>
      </c>
      <c r="Y906" s="25"/>
      <c r="Z906" s="25"/>
      <c r="AA906" s="40"/>
      <c r="AB906" s="40"/>
      <c r="AC906" s="25" t="str">
        <f>TRIM(StudentScore[[#This Row],[Student Email]])</f>
        <v>chayada.pat@student.mahidol.ac.th</v>
      </c>
    </row>
    <row r="907" spans="1:29" ht="27">
      <c r="A907" s="15"/>
      <c r="B907" s="27">
        <f t="shared" si="48"/>
        <v>65</v>
      </c>
      <c r="C907" s="27">
        <f t="shared" si="49"/>
        <v>2025</v>
      </c>
      <c r="D907" s="54"/>
      <c r="E907" s="19">
        <v>6588185</v>
      </c>
      <c r="F907" s="20" t="s">
        <v>38</v>
      </c>
      <c r="G907" s="20" t="s">
        <v>3464</v>
      </c>
      <c r="H907" s="32" t="s">
        <v>3465</v>
      </c>
      <c r="I907" s="25" t="s">
        <v>64</v>
      </c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59" t="s">
        <v>3466</v>
      </c>
      <c r="X907" s="25" t="s">
        <v>3467</v>
      </c>
      <c r="Y907" s="25"/>
      <c r="Z907" s="25"/>
      <c r="AA907" s="40"/>
      <c r="AB907" s="40"/>
      <c r="AC907" s="25" t="str">
        <f>TRIM(StudentScore[[#This Row],[Student Email]])</f>
        <v>boonchai.pin@student.mahidol.ac.th</v>
      </c>
    </row>
    <row r="908" spans="1:29" ht="27">
      <c r="A908" s="15"/>
      <c r="B908" s="27">
        <f t="shared" si="48"/>
        <v>65</v>
      </c>
      <c r="C908" s="27">
        <f t="shared" si="49"/>
        <v>2025</v>
      </c>
      <c r="D908" s="54"/>
      <c r="E908" s="19">
        <v>6588186</v>
      </c>
      <c r="F908" s="20" t="s">
        <v>117</v>
      </c>
      <c r="G908" s="20" t="s">
        <v>3468</v>
      </c>
      <c r="H908" s="32" t="s">
        <v>3469</v>
      </c>
      <c r="I908" s="25" t="s">
        <v>64</v>
      </c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59" t="s">
        <v>3470</v>
      </c>
      <c r="X908" s="25" t="s">
        <v>3471</v>
      </c>
      <c r="Y908" s="25"/>
      <c r="Z908" s="25"/>
      <c r="AA908" s="40"/>
      <c r="AB908" s="40"/>
      <c r="AC908" s="25" t="str">
        <f>TRIM(StudentScore[[#This Row],[Student Email]])</f>
        <v>kotchapan.pan@student.mahidol.ac.th</v>
      </c>
    </row>
    <row r="909" spans="1:29" ht="27">
      <c r="A909" s="15"/>
      <c r="B909" s="27">
        <f t="shared" si="48"/>
        <v>65</v>
      </c>
      <c r="C909" s="27">
        <f t="shared" si="49"/>
        <v>2025</v>
      </c>
      <c r="D909" s="54"/>
      <c r="E909" s="19">
        <v>6588187</v>
      </c>
      <c r="F909" s="20" t="s">
        <v>117</v>
      </c>
      <c r="G909" s="20" t="s">
        <v>825</v>
      </c>
      <c r="H909" s="32" t="s">
        <v>3472</v>
      </c>
      <c r="I909" s="25" t="s">
        <v>64</v>
      </c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59" t="s">
        <v>3473</v>
      </c>
      <c r="X909" s="25" t="s">
        <v>3474</v>
      </c>
      <c r="Y909" s="25"/>
      <c r="Z909" s="25"/>
      <c r="AA909" s="40"/>
      <c r="AB909" s="40"/>
      <c r="AC909" s="25" t="str">
        <f>TRIM(StudentScore[[#This Row],[Student Email]])</f>
        <v>punyaporn.put@student.mahidol.ac.th</v>
      </c>
    </row>
    <row r="910" spans="1:29" ht="27">
      <c r="A910" s="15"/>
      <c r="B910" s="27">
        <f t="shared" si="48"/>
        <v>65</v>
      </c>
      <c r="C910" s="27">
        <f t="shared" si="49"/>
        <v>2025</v>
      </c>
      <c r="D910" s="54"/>
      <c r="E910" s="19">
        <v>6588188</v>
      </c>
      <c r="F910" s="20" t="s">
        <v>38</v>
      </c>
      <c r="G910" s="20" t="s">
        <v>2522</v>
      </c>
      <c r="H910" s="32" t="s">
        <v>3475</v>
      </c>
      <c r="I910" s="25" t="s">
        <v>64</v>
      </c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59" t="s">
        <v>3476</v>
      </c>
      <c r="X910" s="25" t="s">
        <v>3477</v>
      </c>
      <c r="Y910" s="25"/>
      <c r="Z910" s="25"/>
      <c r="AA910" s="40"/>
      <c r="AB910" s="40"/>
      <c r="AC910" s="25" t="str">
        <f>TRIM(StudentScore[[#This Row],[Student Email]])</f>
        <v>yotsapat.rat@student.mahidol.ac.th</v>
      </c>
    </row>
    <row r="911" spans="1:29" ht="27">
      <c r="A911" s="15"/>
      <c r="B911" s="27">
        <f t="shared" si="48"/>
        <v>65</v>
      </c>
      <c r="C911" s="27">
        <f t="shared" si="49"/>
        <v>2025</v>
      </c>
      <c r="D911" s="54"/>
      <c r="E911" s="19">
        <v>6588189</v>
      </c>
      <c r="F911" s="20" t="s">
        <v>38</v>
      </c>
      <c r="G911" s="20" t="s">
        <v>765</v>
      </c>
      <c r="H911" s="32" t="s">
        <v>3478</v>
      </c>
      <c r="I911" s="25" t="s">
        <v>53</v>
      </c>
      <c r="J911" s="25">
        <v>102</v>
      </c>
      <c r="K911" s="25">
        <v>54</v>
      </c>
      <c r="L911" s="25">
        <v>48</v>
      </c>
      <c r="M911" s="25"/>
      <c r="N911" s="25"/>
      <c r="O911" s="25"/>
      <c r="P911" s="25"/>
      <c r="Q911" s="25"/>
      <c r="R911" s="25"/>
      <c r="S911" s="26">
        <v>44730</v>
      </c>
      <c r="T911" s="51">
        <v>44835</v>
      </c>
      <c r="U911" s="25"/>
      <c r="V911" s="25"/>
      <c r="W911" s="59" t="s">
        <v>3479</v>
      </c>
      <c r="X911" s="25" t="s">
        <v>3480</v>
      </c>
      <c r="Y911" s="25"/>
      <c r="Z911" s="25"/>
      <c r="AA911" s="40"/>
      <c r="AB911" s="40"/>
      <c r="AC911" s="25" t="str">
        <f>TRIM(StudentScore[[#This Row],[Student Email]])</f>
        <v>nuttapong.roc@student.mahidol.ac.th</v>
      </c>
    </row>
    <row r="912" spans="1:29" ht="27">
      <c r="A912" s="15"/>
      <c r="B912" s="27">
        <f t="shared" ref="B912:B930" si="50">VALUE(LEFT(E912,2))</f>
        <v>65</v>
      </c>
      <c r="C912" s="27">
        <f t="shared" ref="C912:C930" si="51">VALUE("25"&amp;B912)-543+3</f>
        <v>2025</v>
      </c>
      <c r="D912" s="54"/>
      <c r="E912" s="19">
        <v>6588190</v>
      </c>
      <c r="F912" s="20" t="s">
        <v>38</v>
      </c>
      <c r="G912" s="20" t="s">
        <v>3481</v>
      </c>
      <c r="H912" s="32" t="s">
        <v>3482</v>
      </c>
      <c r="I912" s="25" t="s">
        <v>64</v>
      </c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59" t="s">
        <v>3483</v>
      </c>
      <c r="X912" s="25" t="s">
        <v>3484</v>
      </c>
      <c r="Y912" s="25"/>
      <c r="Z912" s="25"/>
      <c r="AA912" s="40"/>
      <c r="AB912" s="40"/>
      <c r="AC912" s="25" t="str">
        <f>TRIM(StudentScore[[#This Row],[Student Email]])</f>
        <v>wichan.rug@student.mahidol.ac.th</v>
      </c>
    </row>
    <row r="913" spans="1:29" ht="27">
      <c r="A913" s="15"/>
      <c r="B913" s="27">
        <f t="shared" si="50"/>
        <v>65</v>
      </c>
      <c r="C913" s="27">
        <f t="shared" si="51"/>
        <v>2025</v>
      </c>
      <c r="D913" s="54"/>
      <c r="E913" s="19">
        <v>6588191</v>
      </c>
      <c r="F913" s="20" t="s">
        <v>117</v>
      </c>
      <c r="G913" s="20" t="s">
        <v>427</v>
      </c>
      <c r="H913" s="32" t="s">
        <v>3485</v>
      </c>
      <c r="I913" s="25" t="s">
        <v>64</v>
      </c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59" t="s">
        <v>3486</v>
      </c>
      <c r="X913" s="25" t="s">
        <v>3487</v>
      </c>
      <c r="Y913" s="25"/>
      <c r="Z913" s="25"/>
      <c r="AA913" s="40"/>
      <c r="AB913" s="40"/>
      <c r="AC913" s="25" t="str">
        <f>TRIM(StudentScore[[#This Row],[Student Email]])</f>
        <v>ananya.san@student.mahidol.ac.th</v>
      </c>
    </row>
    <row r="914" spans="1:29" ht="27">
      <c r="A914" s="15"/>
      <c r="B914" s="27">
        <f t="shared" si="50"/>
        <v>65</v>
      </c>
      <c r="C914" s="27">
        <f t="shared" si="51"/>
        <v>2025</v>
      </c>
      <c r="D914" s="54"/>
      <c r="E914" s="19">
        <v>6588192</v>
      </c>
      <c r="F914" s="20" t="s">
        <v>117</v>
      </c>
      <c r="G914" s="20" t="s">
        <v>3488</v>
      </c>
      <c r="H914" s="32" t="s">
        <v>3489</v>
      </c>
      <c r="I914" s="25" t="s">
        <v>64</v>
      </c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59" t="s">
        <v>3490</v>
      </c>
      <c r="X914" s="25" t="s">
        <v>3491</v>
      </c>
      <c r="Y914" s="25"/>
      <c r="Z914" s="25"/>
      <c r="AA914" s="40"/>
      <c r="AB914" s="40"/>
      <c r="AC914" s="25" t="str">
        <f>TRIM(StudentScore[[#This Row],[Student Email]])</f>
        <v>supasri.see@student.mahidol.ac.th</v>
      </c>
    </row>
    <row r="915" spans="1:29" ht="27">
      <c r="A915" s="15"/>
      <c r="B915" s="27">
        <f t="shared" si="50"/>
        <v>65</v>
      </c>
      <c r="C915" s="27">
        <f t="shared" si="51"/>
        <v>2025</v>
      </c>
      <c r="D915" s="54"/>
      <c r="E915" s="19">
        <v>6588193</v>
      </c>
      <c r="F915" s="20" t="s">
        <v>38</v>
      </c>
      <c r="G915" s="20" t="s">
        <v>3492</v>
      </c>
      <c r="H915" s="32" t="s">
        <v>1676</v>
      </c>
      <c r="I915" s="25" t="s">
        <v>41</v>
      </c>
      <c r="J915" s="25">
        <v>547</v>
      </c>
      <c r="K915" s="25">
        <v>58</v>
      </c>
      <c r="L915" s="25">
        <v>55</v>
      </c>
      <c r="M915" s="25">
        <v>51</v>
      </c>
      <c r="N915" s="25"/>
      <c r="O915" s="25"/>
      <c r="P915" s="25"/>
      <c r="Q915" s="25"/>
      <c r="R915" s="25"/>
      <c r="S915" s="26">
        <v>44754</v>
      </c>
      <c r="T915" s="26">
        <v>44774</v>
      </c>
      <c r="U915" s="25" t="s">
        <v>2261</v>
      </c>
      <c r="V915" s="25"/>
      <c r="W915" s="59" t="s">
        <v>3493</v>
      </c>
      <c r="X915" s="25" t="s">
        <v>3494</v>
      </c>
      <c r="Y915" s="25"/>
      <c r="Z915" s="25"/>
      <c r="AA915" s="40"/>
      <c r="AB915" s="40"/>
      <c r="AC915" s="25" t="str">
        <f>TRIM(StudentScore[[#This Row],[Student Email]])</f>
        <v>lattawit.sir@student.mahidol.ac.th</v>
      </c>
    </row>
    <row r="916" spans="1:29" ht="27">
      <c r="A916" s="15"/>
      <c r="B916" s="27">
        <f t="shared" si="50"/>
        <v>65</v>
      </c>
      <c r="C916" s="27">
        <f t="shared" si="51"/>
        <v>2025</v>
      </c>
      <c r="D916" s="54"/>
      <c r="E916" s="19">
        <v>6588194</v>
      </c>
      <c r="F916" s="20" t="s">
        <v>117</v>
      </c>
      <c r="G916" s="20" t="s">
        <v>3495</v>
      </c>
      <c r="H916" s="32" t="s">
        <v>3496</v>
      </c>
      <c r="I916" s="25" t="s">
        <v>64</v>
      </c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59" t="s">
        <v>3497</v>
      </c>
      <c r="X916" s="25" t="s">
        <v>3498</v>
      </c>
      <c r="Y916" s="25"/>
      <c r="Z916" s="25"/>
      <c r="AA916" s="40"/>
      <c r="AB916" s="40"/>
      <c r="AC916" s="25" t="str">
        <f>TRIM(StudentScore[[#This Row],[Student Email]])</f>
        <v>kantida.sor@student.mahidol.ac.th</v>
      </c>
    </row>
    <row r="917" spans="1:29" ht="27">
      <c r="A917" s="15"/>
      <c r="B917" s="27">
        <f t="shared" si="50"/>
        <v>65</v>
      </c>
      <c r="C917" s="27">
        <f t="shared" si="51"/>
        <v>2025</v>
      </c>
      <c r="D917" s="54"/>
      <c r="E917" s="19">
        <v>6588195</v>
      </c>
      <c r="F917" s="20" t="s">
        <v>117</v>
      </c>
      <c r="G917" s="20" t="s">
        <v>3499</v>
      </c>
      <c r="H917" s="32" t="s">
        <v>3500</v>
      </c>
      <c r="I917" s="25" t="s">
        <v>64</v>
      </c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59" t="s">
        <v>3501</v>
      </c>
      <c r="X917" s="25" t="s">
        <v>3502</v>
      </c>
      <c r="Y917" s="25"/>
      <c r="Z917" s="25"/>
      <c r="AA917" s="40"/>
      <c r="AB917" s="40"/>
      <c r="AC917" s="25" t="str">
        <f>TRIM(StudentScore[[#This Row],[Student Email]])</f>
        <v>netsara.sri@student.mahidol.ac.th</v>
      </c>
    </row>
    <row r="918" spans="1:29" ht="27">
      <c r="A918" s="15"/>
      <c r="B918" s="27">
        <f t="shared" si="50"/>
        <v>65</v>
      </c>
      <c r="C918" s="27">
        <f t="shared" si="51"/>
        <v>2025</v>
      </c>
      <c r="D918" s="54"/>
      <c r="E918" s="19">
        <v>6588196</v>
      </c>
      <c r="F918" s="20" t="s">
        <v>117</v>
      </c>
      <c r="G918" s="20" t="s">
        <v>3503</v>
      </c>
      <c r="H918" s="32" t="s">
        <v>3504</v>
      </c>
      <c r="I918" s="25" t="s">
        <v>53</v>
      </c>
      <c r="J918" s="25">
        <v>92</v>
      </c>
      <c r="K918" s="25">
        <v>47</v>
      </c>
      <c r="L918" s="25">
        <v>45</v>
      </c>
      <c r="M918" s="25"/>
      <c r="N918" s="25"/>
      <c r="O918" s="25"/>
      <c r="P918" s="25"/>
      <c r="Q918" s="25"/>
      <c r="R918" s="25"/>
      <c r="S918" s="26">
        <v>44738</v>
      </c>
      <c r="T918" s="51">
        <v>44774</v>
      </c>
      <c r="U918" s="25"/>
      <c r="V918" s="25"/>
      <c r="W918" s="59" t="s">
        <v>3505</v>
      </c>
      <c r="X918" s="25" t="s">
        <v>3506</v>
      </c>
      <c r="Y918" s="42">
        <v>44789.375694444447</v>
      </c>
      <c r="Z918" s="25" t="s">
        <v>3507</v>
      </c>
      <c r="AA918" s="40"/>
      <c r="AB918" s="40"/>
      <c r="AC918" s="25" t="str">
        <f>TRIM(StudentScore[[#This Row],[Student Email]])</f>
        <v>nonraphan.tat@student.mahidol.ac.th</v>
      </c>
    </row>
    <row r="919" spans="1:29" ht="27">
      <c r="A919" s="15"/>
      <c r="B919" s="27">
        <f t="shared" si="50"/>
        <v>65</v>
      </c>
      <c r="C919" s="27">
        <f t="shared" si="51"/>
        <v>2025</v>
      </c>
      <c r="D919" s="54"/>
      <c r="E919" s="19">
        <v>6588197</v>
      </c>
      <c r="F919" s="20" t="s">
        <v>117</v>
      </c>
      <c r="G919" s="20" t="s">
        <v>3508</v>
      </c>
      <c r="H919" s="32" t="s">
        <v>3509</v>
      </c>
      <c r="I919" s="25" t="s">
        <v>64</v>
      </c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59" t="s">
        <v>3510</v>
      </c>
      <c r="X919" s="25" t="s">
        <v>3511</v>
      </c>
      <c r="Y919" s="25"/>
      <c r="Z919" s="25"/>
      <c r="AA919" s="40"/>
      <c r="AB919" s="40"/>
      <c r="AC919" s="25" t="str">
        <f>TRIM(StudentScore[[#This Row],[Student Email]])</f>
        <v>kirana.tee@student.mahidol.ac.th</v>
      </c>
    </row>
    <row r="920" spans="1:29" ht="27">
      <c r="A920" s="15"/>
      <c r="B920" s="27">
        <f t="shared" si="50"/>
        <v>65</v>
      </c>
      <c r="C920" s="27">
        <f t="shared" si="51"/>
        <v>2025</v>
      </c>
      <c r="D920" s="54"/>
      <c r="E920" s="19">
        <v>6588198</v>
      </c>
      <c r="F920" s="20" t="s">
        <v>117</v>
      </c>
      <c r="G920" s="20" t="s">
        <v>3512</v>
      </c>
      <c r="H920" s="32" t="s">
        <v>3513</v>
      </c>
      <c r="I920" s="25" t="s">
        <v>64</v>
      </c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59" t="s">
        <v>3514</v>
      </c>
      <c r="X920" s="25" t="s">
        <v>3515</v>
      </c>
      <c r="Y920" s="25"/>
      <c r="Z920" s="25"/>
      <c r="AA920" s="40"/>
      <c r="AB920" s="40"/>
      <c r="AC920" s="25" t="str">
        <f>TRIM(StudentScore[[#This Row],[Student Email]])</f>
        <v>thitiyathorn.thi@student.mahidol.ac.th</v>
      </c>
    </row>
    <row r="921" spans="1:29" ht="27">
      <c r="A921" s="15"/>
      <c r="B921" s="27">
        <f t="shared" si="50"/>
        <v>65</v>
      </c>
      <c r="C921" s="27">
        <f t="shared" si="51"/>
        <v>2025</v>
      </c>
      <c r="D921" s="54"/>
      <c r="E921" s="19">
        <v>6588199</v>
      </c>
      <c r="F921" s="20" t="s">
        <v>38</v>
      </c>
      <c r="G921" s="20" t="s">
        <v>3516</v>
      </c>
      <c r="H921" s="32" t="s">
        <v>3517</v>
      </c>
      <c r="I921" s="25" t="s">
        <v>64</v>
      </c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59" t="s">
        <v>3518</v>
      </c>
      <c r="X921" s="25" t="s">
        <v>3519</v>
      </c>
      <c r="Y921" s="25"/>
      <c r="Z921" s="25"/>
      <c r="AA921" s="40"/>
      <c r="AB921" s="40"/>
      <c r="AC921" s="25" t="str">
        <f>TRIM(StudentScore[[#This Row],[Student Email]])</f>
        <v>papopporn.tho@student.mahidol.ac.th</v>
      </c>
    </row>
    <row r="922" spans="1:29" ht="27">
      <c r="A922" s="15"/>
      <c r="B922" s="27">
        <f t="shared" si="50"/>
        <v>65</v>
      </c>
      <c r="C922" s="27">
        <f t="shared" si="51"/>
        <v>2025</v>
      </c>
      <c r="D922" s="54"/>
      <c r="E922" s="19">
        <v>6588200</v>
      </c>
      <c r="F922" s="20" t="s">
        <v>117</v>
      </c>
      <c r="G922" s="20" t="s">
        <v>3520</v>
      </c>
      <c r="H922" s="32" t="s">
        <v>3521</v>
      </c>
      <c r="I922" s="25" t="s">
        <v>64</v>
      </c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59" t="s">
        <v>3522</v>
      </c>
      <c r="X922" s="25" t="s">
        <v>3523</v>
      </c>
      <c r="Y922" s="25"/>
      <c r="Z922" s="25"/>
      <c r="AA922" s="40"/>
      <c r="AB922" s="40"/>
      <c r="AC922" s="25" t="str">
        <f>TRIM(StudentScore[[#This Row],[Student Email]])</f>
        <v>mooktapra.waw@student.mahidol.ac.th</v>
      </c>
    </row>
    <row r="923" spans="1:29" ht="27">
      <c r="A923" s="15"/>
      <c r="B923" s="27">
        <f t="shared" si="50"/>
        <v>65</v>
      </c>
      <c r="C923" s="27">
        <f t="shared" si="51"/>
        <v>2025</v>
      </c>
      <c r="D923" s="54"/>
      <c r="E923" s="19">
        <v>6588201</v>
      </c>
      <c r="F923" s="20" t="s">
        <v>117</v>
      </c>
      <c r="G923" s="20" t="s">
        <v>3524</v>
      </c>
      <c r="H923" s="32" t="s">
        <v>3525</v>
      </c>
      <c r="I923" s="25" t="s">
        <v>124</v>
      </c>
      <c r="J923" s="25">
        <v>5.5</v>
      </c>
      <c r="K923" s="25">
        <v>5.5</v>
      </c>
      <c r="L923" s="25">
        <v>5</v>
      </c>
      <c r="M923" s="25">
        <v>6</v>
      </c>
      <c r="N923" s="25">
        <v>5</v>
      </c>
      <c r="O923" s="25"/>
      <c r="P923" s="25"/>
      <c r="Q923" s="25"/>
      <c r="R923" s="25"/>
      <c r="S923" s="26">
        <v>44542</v>
      </c>
      <c r="T923" s="26">
        <v>44853</v>
      </c>
      <c r="U923" s="25"/>
      <c r="V923" s="25"/>
      <c r="W923" s="59" t="s">
        <v>3526</v>
      </c>
      <c r="X923" s="25" t="s">
        <v>3527</v>
      </c>
      <c r="Y923" s="42">
        <v>44853.628750000003</v>
      </c>
      <c r="Z923" s="25"/>
      <c r="AA923" s="40"/>
      <c r="AB923" s="40"/>
      <c r="AC923" s="25" t="str">
        <f>TRIM(StudentScore[[#This Row],[Student Email]])</f>
        <v>paranee.wan@student.mahidol.ac.th</v>
      </c>
    </row>
    <row r="924" spans="1:29" ht="27">
      <c r="A924" s="15"/>
      <c r="B924" s="27">
        <f t="shared" si="50"/>
        <v>65</v>
      </c>
      <c r="C924" s="27">
        <f t="shared" si="51"/>
        <v>2025</v>
      </c>
      <c r="D924" s="54"/>
      <c r="E924" s="19">
        <v>6588202</v>
      </c>
      <c r="F924" s="20" t="s">
        <v>38</v>
      </c>
      <c r="G924" s="20" t="s">
        <v>272</v>
      </c>
      <c r="H924" s="32" t="s">
        <v>3528</v>
      </c>
      <c r="I924" s="25" t="s">
        <v>64</v>
      </c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59" t="s">
        <v>3529</v>
      </c>
      <c r="X924" s="25" t="s">
        <v>3530</v>
      </c>
      <c r="Y924" s="25"/>
      <c r="Z924" s="25"/>
      <c r="AA924" s="40"/>
      <c r="AB924" s="40"/>
      <c r="AC924" s="25" t="str">
        <f>TRIM(StudentScore[[#This Row],[Student Email]])</f>
        <v>natchanon.sin@student.mahidol.ac.th</v>
      </c>
    </row>
    <row r="925" spans="1:29" ht="27">
      <c r="A925" s="15"/>
      <c r="B925" s="27">
        <f t="shared" si="50"/>
        <v>65</v>
      </c>
      <c r="C925" s="27">
        <f t="shared" si="51"/>
        <v>2025</v>
      </c>
      <c r="D925" s="54"/>
      <c r="E925" s="19">
        <v>6588203</v>
      </c>
      <c r="F925" s="20" t="s">
        <v>38</v>
      </c>
      <c r="G925" s="20" t="s">
        <v>3531</v>
      </c>
      <c r="H925" s="32" t="s">
        <v>3532</v>
      </c>
      <c r="I925" s="25" t="s">
        <v>64</v>
      </c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59" t="s">
        <v>3533</v>
      </c>
      <c r="X925" s="25" t="s">
        <v>3534</v>
      </c>
      <c r="Y925" s="25"/>
      <c r="Z925" s="25"/>
      <c r="AA925" s="40"/>
      <c r="AB925" s="40"/>
      <c r="AC925" s="25" t="str">
        <f>TRIM(StudentScore[[#This Row],[Student Email]])</f>
        <v>jeeraphat.sri@student.mahidol.ac.th</v>
      </c>
    </row>
    <row r="926" spans="1:29" ht="27">
      <c r="A926" s="15"/>
      <c r="B926" s="27">
        <f t="shared" si="50"/>
        <v>65</v>
      </c>
      <c r="C926" s="27">
        <f t="shared" si="51"/>
        <v>2025</v>
      </c>
      <c r="D926" s="54"/>
      <c r="E926" s="19">
        <v>6588204</v>
      </c>
      <c r="F926" s="20" t="s">
        <v>117</v>
      </c>
      <c r="G926" s="20" t="s">
        <v>3535</v>
      </c>
      <c r="H926" s="32" t="s">
        <v>3536</v>
      </c>
      <c r="I926" s="25" t="s">
        <v>53</v>
      </c>
      <c r="J926" s="25">
        <v>101</v>
      </c>
      <c r="K926" s="25">
        <v>47</v>
      </c>
      <c r="L926" s="25">
        <v>54</v>
      </c>
      <c r="M926" s="25"/>
      <c r="N926" s="25"/>
      <c r="O926" s="25"/>
      <c r="P926" s="25"/>
      <c r="Q926" s="25"/>
      <c r="R926" s="25"/>
      <c r="S926" s="26">
        <v>44975</v>
      </c>
      <c r="T926" s="35">
        <v>45093</v>
      </c>
      <c r="U926" s="25"/>
      <c r="V926" s="25"/>
      <c r="W926" s="59" t="s">
        <v>3537</v>
      </c>
      <c r="X926" s="25" t="s">
        <v>3538</v>
      </c>
      <c r="Y926" s="42">
        <v>45093.62127314815</v>
      </c>
      <c r="Z926" s="25" t="s">
        <v>3539</v>
      </c>
      <c r="AA926" s="40"/>
      <c r="AB926" s="40"/>
      <c r="AC926" s="25" t="str">
        <f>TRIM(StudentScore[[#This Row],[Student Email]])</f>
        <v>chayanid.ter@student.mahidol.ac.th</v>
      </c>
    </row>
    <row r="927" spans="1:29" ht="27">
      <c r="A927" s="15"/>
      <c r="B927" s="27">
        <f t="shared" si="50"/>
        <v>65</v>
      </c>
      <c r="C927" s="27">
        <f t="shared" si="51"/>
        <v>2025</v>
      </c>
      <c r="D927" s="54"/>
      <c r="E927" s="19">
        <v>6588205</v>
      </c>
      <c r="F927" s="20" t="s">
        <v>38</v>
      </c>
      <c r="G927" s="20" t="s">
        <v>3540</v>
      </c>
      <c r="H927" s="32" t="s">
        <v>3541</v>
      </c>
      <c r="I927" s="25" t="s">
        <v>41</v>
      </c>
      <c r="J927" s="25">
        <v>530</v>
      </c>
      <c r="K927" s="25">
        <v>55</v>
      </c>
      <c r="L927" s="25">
        <v>53</v>
      </c>
      <c r="M927" s="25">
        <v>51</v>
      </c>
      <c r="N927" s="25"/>
      <c r="O927" s="25"/>
      <c r="P927" s="25"/>
      <c r="Q927" s="25"/>
      <c r="R927" s="25"/>
      <c r="S927" s="26">
        <v>44754</v>
      </c>
      <c r="T927" s="26">
        <v>44774</v>
      </c>
      <c r="U927" s="25" t="s">
        <v>2261</v>
      </c>
      <c r="V927" s="25"/>
      <c r="W927" s="59" t="s">
        <v>3542</v>
      </c>
      <c r="X927" s="25" t="s">
        <v>3543</v>
      </c>
      <c r="Y927" s="25"/>
      <c r="Z927" s="25"/>
      <c r="AA927" s="40"/>
      <c r="AB927" s="40"/>
      <c r="AC927" s="25" t="str">
        <f>TRIM(StudentScore[[#This Row],[Student Email]])</f>
        <v>peempat.usn@student.mahidol.ac.th</v>
      </c>
    </row>
    <row r="928" spans="1:29" ht="27">
      <c r="A928" s="15"/>
      <c r="B928" s="27">
        <f t="shared" si="50"/>
        <v>65</v>
      </c>
      <c r="C928" s="27">
        <f t="shared" si="51"/>
        <v>2025</v>
      </c>
      <c r="D928" s="54"/>
      <c r="E928" s="19">
        <v>6588206</v>
      </c>
      <c r="F928" s="20" t="s">
        <v>38</v>
      </c>
      <c r="G928" s="20" t="s">
        <v>3544</v>
      </c>
      <c r="H928" s="32" t="s">
        <v>3545</v>
      </c>
      <c r="I928" s="25" t="s">
        <v>53</v>
      </c>
      <c r="J928" s="25">
        <v>98</v>
      </c>
      <c r="K928" s="25">
        <v>55</v>
      </c>
      <c r="L928" s="25">
        <v>43</v>
      </c>
      <c r="M928" s="25"/>
      <c r="N928" s="25"/>
      <c r="O928" s="25"/>
      <c r="P928" s="25"/>
      <c r="Q928" s="25"/>
      <c r="R928" s="25"/>
      <c r="S928" s="26">
        <v>44975</v>
      </c>
      <c r="T928" s="35">
        <v>44998</v>
      </c>
      <c r="U928" s="25"/>
      <c r="V928" s="25"/>
      <c r="W928" s="59" t="s">
        <v>3546</v>
      </c>
      <c r="X928" s="25" t="s">
        <v>3547</v>
      </c>
      <c r="Y928" s="42">
        <v>44998.59952546296</v>
      </c>
      <c r="Z928" s="25" t="s">
        <v>3548</v>
      </c>
      <c r="AA928" s="40"/>
      <c r="AB928" s="40"/>
      <c r="AC928" s="25" t="str">
        <f>TRIM(StudentScore[[#This Row],[Student Email]])</f>
        <v>attapong.yae@student.mahidol.ac.th</v>
      </c>
    </row>
    <row r="929" spans="1:29" ht="27">
      <c r="A929" s="15"/>
      <c r="B929" s="27">
        <f t="shared" si="50"/>
        <v>65</v>
      </c>
      <c r="C929" s="27">
        <f t="shared" si="51"/>
        <v>2025</v>
      </c>
      <c r="D929" s="54"/>
      <c r="E929" s="19">
        <v>6588207</v>
      </c>
      <c r="F929" s="20" t="s">
        <v>38</v>
      </c>
      <c r="G929" s="20" t="s">
        <v>447</v>
      </c>
      <c r="H929" s="32" t="s">
        <v>3549</v>
      </c>
      <c r="I929" s="25" t="s">
        <v>41</v>
      </c>
      <c r="J929" s="25">
        <v>527</v>
      </c>
      <c r="K929" s="25">
        <v>60</v>
      </c>
      <c r="L929" s="25">
        <v>51</v>
      </c>
      <c r="M929" s="25">
        <v>47</v>
      </c>
      <c r="N929" s="25"/>
      <c r="O929" s="25"/>
      <c r="P929" s="25"/>
      <c r="Q929" s="25"/>
      <c r="R929" s="25"/>
      <c r="S929" s="26">
        <v>44754</v>
      </c>
      <c r="T929" s="26">
        <v>44774</v>
      </c>
      <c r="U929" s="25" t="s">
        <v>2261</v>
      </c>
      <c r="V929" s="25"/>
      <c r="W929" s="59" t="s">
        <v>3550</v>
      </c>
      <c r="X929" s="25" t="s">
        <v>3551</v>
      </c>
      <c r="Y929" s="25"/>
      <c r="Z929" s="25"/>
      <c r="AA929" s="40"/>
      <c r="AB929" s="40"/>
      <c r="AC929" s="25" t="str">
        <f>TRIM(StudentScore[[#This Row],[Student Email]])</f>
        <v>napat.pho@student.mahidol.ac.th</v>
      </c>
    </row>
    <row r="930" spans="1:29" ht="27">
      <c r="A930" s="15"/>
      <c r="B930" s="16">
        <f t="shared" si="50"/>
        <v>65</v>
      </c>
      <c r="C930" s="27">
        <f t="shared" si="51"/>
        <v>2025</v>
      </c>
      <c r="D930" s="54"/>
      <c r="E930" s="19">
        <v>6588208</v>
      </c>
      <c r="F930" s="20" t="s">
        <v>38</v>
      </c>
      <c r="G930" s="14" t="s">
        <v>3552</v>
      </c>
      <c r="H930" s="18" t="s">
        <v>3553</v>
      </c>
      <c r="I930" s="25" t="s">
        <v>214</v>
      </c>
      <c r="J930" s="25">
        <v>95</v>
      </c>
      <c r="K930" s="25"/>
      <c r="L930" s="25"/>
      <c r="M930" s="25"/>
      <c r="N930" s="25"/>
      <c r="O930" s="25">
        <v>105</v>
      </c>
      <c r="P930" s="25">
        <v>80</v>
      </c>
      <c r="Q930" s="25">
        <v>105</v>
      </c>
      <c r="R930" s="25">
        <v>70</v>
      </c>
      <c r="S930" s="26">
        <v>44719</v>
      </c>
      <c r="T930" s="51">
        <v>44835</v>
      </c>
      <c r="U930" s="25"/>
      <c r="V930" s="25"/>
      <c r="W930" s="59" t="s">
        <v>3554</v>
      </c>
      <c r="X930" s="25" t="s">
        <v>3555</v>
      </c>
      <c r="Y930" s="42">
        <v>44832.610995370371</v>
      </c>
      <c r="Z930" s="25" t="s">
        <v>3556</v>
      </c>
      <c r="AA930" s="40"/>
      <c r="AB930" s="40"/>
      <c r="AC930" s="25" t="str">
        <f>TRIM(StudentScore[[#This Row],[Student Email]])</f>
        <v>wongpan.won@student.mahidol.ac.th</v>
      </c>
    </row>
    <row r="931" spans="1:29" ht="27">
      <c r="A931" s="62" t="s">
        <v>3557</v>
      </c>
      <c r="B931" s="27">
        <f>VALUE(LEFT(E931,2))</f>
        <v>61</v>
      </c>
      <c r="C931" s="27">
        <f>VALUE("25"&amp;B931)-543+3</f>
        <v>2021</v>
      </c>
      <c r="D931" s="54"/>
      <c r="E931" s="23">
        <v>6188999</v>
      </c>
      <c r="F931" s="24" t="s">
        <v>38</v>
      </c>
      <c r="G931" s="20" t="s">
        <v>3558</v>
      </c>
      <c r="H931" s="32" t="s">
        <v>3559</v>
      </c>
      <c r="I931" s="25" t="s">
        <v>64</v>
      </c>
      <c r="J931" s="25"/>
      <c r="K931" s="25"/>
      <c r="L931" s="25"/>
      <c r="M931" s="25"/>
      <c r="N931" s="25"/>
      <c r="O931" s="25"/>
      <c r="P931" s="25"/>
      <c r="Q931" s="25"/>
      <c r="R931" s="25"/>
      <c r="S931" s="26"/>
      <c r="T931" s="25"/>
      <c r="U931" s="25"/>
      <c r="V931" s="25"/>
      <c r="W931" s="59"/>
      <c r="X931" s="43" t="s">
        <v>3560</v>
      </c>
      <c r="Y931" s="42"/>
      <c r="Z931" s="25"/>
      <c r="AA931" s="40"/>
      <c r="AB931" s="40"/>
      <c r="AC931" s="25" t="str">
        <f>TRIM(StudentScore[[#This Row],[Student Email]])</f>
        <v>patipat.che123@mahidol.ac.th</v>
      </c>
    </row>
    <row r="932" spans="1:29" ht="27">
      <c r="A932" s="62" t="s">
        <v>3557</v>
      </c>
      <c r="B932" s="27">
        <f>VALUE(LEFT(E932,2))</f>
        <v>61</v>
      </c>
      <c r="C932" s="27">
        <f>VALUE("25"&amp;B932)-543+3</f>
        <v>2021</v>
      </c>
      <c r="D932" s="54"/>
      <c r="E932" s="23">
        <v>6188998</v>
      </c>
      <c r="F932" s="20" t="s">
        <v>117</v>
      </c>
      <c r="G932" s="20" t="s">
        <v>3561</v>
      </c>
      <c r="H932" s="32" t="s">
        <v>3562</v>
      </c>
      <c r="I932" s="25" t="s">
        <v>64</v>
      </c>
      <c r="J932" s="25"/>
      <c r="K932" s="25"/>
      <c r="L932" s="25"/>
      <c r="M932" s="25"/>
      <c r="N932" s="25"/>
      <c r="O932" s="25"/>
      <c r="P932" s="25"/>
      <c r="Q932" s="25"/>
      <c r="R932" s="25"/>
      <c r="S932" s="26"/>
      <c r="T932" s="25"/>
      <c r="U932" s="25"/>
      <c r="V932" s="25"/>
      <c r="W932" s="25"/>
      <c r="X932" s="43" t="s">
        <v>3563</v>
      </c>
      <c r="Y932" s="42"/>
      <c r="Z932" s="25"/>
      <c r="AA932" s="40"/>
      <c r="AB932" s="40"/>
      <c r="AC932" s="25" t="str">
        <f>TRIM(StudentScore[[#This Row],[Student Email]])</f>
        <v>woramon.cha@mahidol.ac.th</v>
      </c>
    </row>
    <row r="933" spans="1:29" ht="27">
      <c r="A933" s="62"/>
      <c r="B933" s="27">
        <v>66</v>
      </c>
      <c r="C933" s="27">
        <f>VALUE("25"&amp;B933)-543+3</f>
        <v>2026</v>
      </c>
      <c r="D933" s="39"/>
      <c r="E933" s="23">
        <v>6688001</v>
      </c>
      <c r="F933" s="24" t="s">
        <v>117</v>
      </c>
      <c r="G933" s="20" t="s">
        <v>3564</v>
      </c>
      <c r="H933" s="32" t="s">
        <v>3565</v>
      </c>
      <c r="I933" s="25" t="s">
        <v>64</v>
      </c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 t="s">
        <v>3566</v>
      </c>
      <c r="Y933" s="25"/>
      <c r="Z933" s="25"/>
      <c r="AA933" s="40"/>
      <c r="AB933" s="40"/>
      <c r="AC933" s="25" t="str">
        <f>TRIM(StudentScore[[#This Row],[Student Email]])</f>
        <v>pattareeya.ach@student.mahidol.ac.th</v>
      </c>
    </row>
    <row r="934" spans="1:29" ht="27">
      <c r="A934" s="62"/>
      <c r="B934" s="27">
        <f t="shared" ref="B934:B997" si="52">VALUE(LEFT(E934,2))</f>
        <v>66</v>
      </c>
      <c r="C934" s="27">
        <f t="shared" ref="C934:C997" si="53">VALUE("25"&amp;B934)-543+3</f>
        <v>2026</v>
      </c>
      <c r="D934" s="39"/>
      <c r="E934" s="23">
        <v>6688002</v>
      </c>
      <c r="F934" s="24" t="s">
        <v>38</v>
      </c>
      <c r="G934" s="20" t="s">
        <v>3567</v>
      </c>
      <c r="H934" s="32" t="s">
        <v>3568</v>
      </c>
      <c r="I934" s="25" t="s">
        <v>64</v>
      </c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 t="s">
        <v>3569</v>
      </c>
      <c r="Y934" s="25"/>
      <c r="Z934" s="25"/>
      <c r="AA934" s="40"/>
      <c r="AB934" s="40"/>
      <c r="AC934" s="25" t="str">
        <f>TRIM(StudentScore[[#This Row],[Student Email]])</f>
        <v>nuttawat.ang@student.mahidol.ac.th</v>
      </c>
    </row>
    <row r="935" spans="1:29" ht="27">
      <c r="A935" s="62"/>
      <c r="B935" s="27">
        <f t="shared" si="52"/>
        <v>66</v>
      </c>
      <c r="C935" s="27">
        <f t="shared" si="53"/>
        <v>2026</v>
      </c>
      <c r="D935" s="39"/>
      <c r="E935" s="19">
        <v>6688003</v>
      </c>
      <c r="F935" s="20" t="s">
        <v>38</v>
      </c>
      <c r="G935" s="20" t="s">
        <v>3570</v>
      </c>
      <c r="H935" s="32" t="s">
        <v>3571</v>
      </c>
      <c r="I935" s="25" t="s">
        <v>64</v>
      </c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 t="s">
        <v>3572</v>
      </c>
      <c r="Y935" s="25"/>
      <c r="Z935" s="25"/>
      <c r="AA935" s="40"/>
      <c r="AB935" s="40"/>
      <c r="AC935" s="25" t="str">
        <f>TRIM(StudentScore[[#This Row],[Student Email]])</f>
        <v>jirath.anu@student.mahidol.ac.th</v>
      </c>
    </row>
    <row r="936" spans="1:29" ht="27">
      <c r="A936" s="62"/>
      <c r="B936" s="27">
        <f t="shared" si="52"/>
        <v>66</v>
      </c>
      <c r="C936" s="27">
        <f t="shared" si="53"/>
        <v>2026</v>
      </c>
      <c r="D936" s="39"/>
      <c r="E936" s="19">
        <v>6688004</v>
      </c>
      <c r="F936" s="20" t="s">
        <v>38</v>
      </c>
      <c r="G936" s="20" t="s">
        <v>3573</v>
      </c>
      <c r="H936" s="32" t="s">
        <v>3574</v>
      </c>
      <c r="I936" s="25" t="s">
        <v>64</v>
      </c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 t="s">
        <v>3575</v>
      </c>
      <c r="Y936" s="25"/>
      <c r="Z936" s="25"/>
      <c r="AA936" s="40"/>
      <c r="AB936" s="40"/>
      <c r="AC936" s="25" t="str">
        <f>TRIM(StudentScore[[#This Row],[Student Email]])</f>
        <v>pakkanat.aph@student.mahidol.ac.th</v>
      </c>
    </row>
    <row r="937" spans="1:29" ht="27">
      <c r="A937" s="62"/>
      <c r="B937" s="27">
        <f t="shared" si="52"/>
        <v>66</v>
      </c>
      <c r="C937" s="27">
        <f t="shared" si="53"/>
        <v>2026</v>
      </c>
      <c r="D937" s="39"/>
      <c r="E937" s="19">
        <v>6688005</v>
      </c>
      <c r="F937" s="20" t="s">
        <v>117</v>
      </c>
      <c r="G937" s="20" t="s">
        <v>176</v>
      </c>
      <c r="H937" s="32" t="s">
        <v>3576</v>
      </c>
      <c r="I937" s="25" t="s">
        <v>64</v>
      </c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 t="s">
        <v>3577</v>
      </c>
      <c r="Y937" s="25"/>
      <c r="Z937" s="25"/>
      <c r="AA937" s="40"/>
      <c r="AB937" s="40"/>
      <c r="AC937" s="25" t="str">
        <f>TRIM(StudentScore[[#This Row],[Student Email]])</f>
        <v>thanaporn.art@student.mahidol.ac.th</v>
      </c>
    </row>
    <row r="938" spans="1:29" ht="27">
      <c r="A938" s="62"/>
      <c r="B938" s="27">
        <f t="shared" si="52"/>
        <v>66</v>
      </c>
      <c r="C938" s="27">
        <f t="shared" si="53"/>
        <v>2026</v>
      </c>
      <c r="D938" s="39"/>
      <c r="E938" s="19">
        <v>6688006</v>
      </c>
      <c r="F938" s="20" t="s">
        <v>38</v>
      </c>
      <c r="G938" s="20" t="s">
        <v>3578</v>
      </c>
      <c r="H938" s="32" t="s">
        <v>3579</v>
      </c>
      <c r="I938" s="25" t="s">
        <v>64</v>
      </c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 t="s">
        <v>3580</v>
      </c>
      <c r="Y938" s="25"/>
      <c r="Z938" s="25"/>
      <c r="AA938" s="40"/>
      <c r="AB938" s="40"/>
      <c r="AC938" s="25" t="str">
        <f>TRIM(StudentScore[[#This Row],[Student Email]])</f>
        <v>kuntapat.asa@student.mahidol.ac.th</v>
      </c>
    </row>
    <row r="939" spans="1:29" ht="27">
      <c r="A939" s="62"/>
      <c r="B939" s="27">
        <f t="shared" si="52"/>
        <v>66</v>
      </c>
      <c r="C939" s="27">
        <f t="shared" si="53"/>
        <v>2026</v>
      </c>
      <c r="D939" s="39"/>
      <c r="E939" s="19">
        <v>6688007</v>
      </c>
      <c r="F939" s="20" t="s">
        <v>38</v>
      </c>
      <c r="G939" s="20" t="s">
        <v>3581</v>
      </c>
      <c r="H939" s="32" t="s">
        <v>3582</v>
      </c>
      <c r="I939" s="25" t="s">
        <v>64</v>
      </c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 t="s">
        <v>3583</v>
      </c>
      <c r="Y939" s="25"/>
      <c r="Z939" s="25"/>
      <c r="AA939" s="40"/>
      <c r="AB939" s="40"/>
      <c r="AC939" s="25" t="str">
        <f>TRIM(StudentScore[[#This Row],[Student Email]])</f>
        <v>saahil.bha@student.mahidol.ac.th</v>
      </c>
    </row>
    <row r="940" spans="1:29" ht="27">
      <c r="A940" s="62"/>
      <c r="B940" s="27">
        <f t="shared" si="52"/>
        <v>66</v>
      </c>
      <c r="C940" s="27">
        <f t="shared" si="53"/>
        <v>2026</v>
      </c>
      <c r="D940" s="39"/>
      <c r="E940" s="19">
        <v>6688008</v>
      </c>
      <c r="F940" s="20" t="s">
        <v>38</v>
      </c>
      <c r="G940" s="20" t="s">
        <v>3584</v>
      </c>
      <c r="H940" s="32" t="s">
        <v>3585</v>
      </c>
      <c r="I940" s="25" t="s">
        <v>64</v>
      </c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 t="s">
        <v>3586</v>
      </c>
      <c r="Y940" s="25"/>
      <c r="Z940" s="25"/>
      <c r="AA940" s="40"/>
      <c r="AB940" s="40"/>
      <c r="AC940" s="25" t="str">
        <f>TRIM(StudentScore[[#This Row],[Student Email]])</f>
        <v>parintorn.boo@student.mahidol.ac.th</v>
      </c>
    </row>
    <row r="941" spans="1:29" ht="27">
      <c r="A941" s="62"/>
      <c r="B941" s="27">
        <f t="shared" si="52"/>
        <v>66</v>
      </c>
      <c r="C941" s="27">
        <f t="shared" si="53"/>
        <v>2026</v>
      </c>
      <c r="D941" s="39"/>
      <c r="E941" s="19">
        <v>6688009</v>
      </c>
      <c r="F941" s="20" t="s">
        <v>117</v>
      </c>
      <c r="G941" s="20" t="s">
        <v>3587</v>
      </c>
      <c r="H941" s="32" t="s">
        <v>3588</v>
      </c>
      <c r="I941" s="25" t="s">
        <v>64</v>
      </c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 t="s">
        <v>3589</v>
      </c>
      <c r="Y941" s="25"/>
      <c r="Z941" s="25"/>
      <c r="AA941" s="40"/>
      <c r="AB941" s="40"/>
      <c r="AC941" s="25" t="str">
        <f>TRIM(StudentScore[[#This Row],[Student Email]])</f>
        <v>sunattha.boo@student.mahidol.ac.th</v>
      </c>
    </row>
    <row r="942" spans="1:29" ht="27">
      <c r="A942" s="62"/>
      <c r="B942" s="27">
        <f t="shared" si="52"/>
        <v>66</v>
      </c>
      <c r="C942" s="27">
        <f t="shared" si="53"/>
        <v>2026</v>
      </c>
      <c r="D942" s="39"/>
      <c r="E942" s="19">
        <v>6688010</v>
      </c>
      <c r="F942" s="20" t="s">
        <v>38</v>
      </c>
      <c r="G942" s="20" t="s">
        <v>3590</v>
      </c>
      <c r="H942" s="32" t="s">
        <v>3591</v>
      </c>
      <c r="I942" s="25" t="s">
        <v>64</v>
      </c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 t="s">
        <v>3592</v>
      </c>
      <c r="Y942" s="25"/>
      <c r="Z942" s="25"/>
      <c r="AA942" s="40"/>
      <c r="AB942" s="40"/>
      <c r="AC942" s="25" t="str">
        <f>TRIM(StudentScore[[#This Row],[Student Email]])</f>
        <v>pakkapol.boo@student.mahidol.ac.th</v>
      </c>
    </row>
    <row r="943" spans="1:29" ht="27">
      <c r="A943" s="62"/>
      <c r="B943" s="27">
        <f t="shared" si="52"/>
        <v>66</v>
      </c>
      <c r="C943" s="27">
        <f t="shared" si="53"/>
        <v>2026</v>
      </c>
      <c r="D943" s="39"/>
      <c r="E943" s="19">
        <v>6688011</v>
      </c>
      <c r="F943" s="20" t="s">
        <v>38</v>
      </c>
      <c r="G943" s="20" t="s">
        <v>3593</v>
      </c>
      <c r="H943" s="32" t="s">
        <v>3594</v>
      </c>
      <c r="I943" s="25" t="s">
        <v>64</v>
      </c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 t="s">
        <v>3595</v>
      </c>
      <c r="Y943" s="25"/>
      <c r="Z943" s="25"/>
      <c r="AA943" s="40"/>
      <c r="AB943" s="40"/>
      <c r="AC943" s="25" t="str">
        <f>TRIM(StudentScore[[#This Row],[Student Email]])</f>
        <v>kittipob.bum@student.mahidol.ac.th</v>
      </c>
    </row>
    <row r="944" spans="1:29" ht="27">
      <c r="A944" s="62"/>
      <c r="B944" s="27">
        <f t="shared" si="52"/>
        <v>66</v>
      </c>
      <c r="C944" s="27">
        <f t="shared" si="53"/>
        <v>2026</v>
      </c>
      <c r="D944" s="39"/>
      <c r="E944" s="19">
        <v>6688012</v>
      </c>
      <c r="F944" s="20" t="s">
        <v>38</v>
      </c>
      <c r="G944" s="20" t="s">
        <v>3596</v>
      </c>
      <c r="H944" s="32" t="s">
        <v>3597</v>
      </c>
      <c r="I944" s="25" t="s">
        <v>64</v>
      </c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 t="s">
        <v>3598</v>
      </c>
      <c r="Y944" s="25"/>
      <c r="Z944" s="25"/>
      <c r="AA944" s="40"/>
      <c r="AB944" s="40"/>
      <c r="AC944" s="25" t="str">
        <f>TRIM(StudentScore[[#This Row],[Student Email]])</f>
        <v>perawis.bur@student.mahidol.ac.th</v>
      </c>
    </row>
    <row r="945" spans="1:29" ht="27">
      <c r="A945" s="62"/>
      <c r="B945" s="27">
        <f t="shared" si="52"/>
        <v>66</v>
      </c>
      <c r="C945" s="27">
        <f t="shared" si="53"/>
        <v>2026</v>
      </c>
      <c r="D945" s="39"/>
      <c r="E945" s="19">
        <v>6688013</v>
      </c>
      <c r="F945" s="20" t="s">
        <v>38</v>
      </c>
      <c r="G945" s="20" t="s">
        <v>3599</v>
      </c>
      <c r="H945" s="32" t="s">
        <v>3600</v>
      </c>
      <c r="I945" s="25" t="s">
        <v>64</v>
      </c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 t="s">
        <v>3601</v>
      </c>
      <c r="Y945" s="25"/>
      <c r="Z945" s="25"/>
      <c r="AA945" s="40"/>
      <c r="AB945" s="40"/>
      <c r="AC945" s="25" t="str">
        <f>TRIM(StudentScore[[#This Row],[Student Email]])</f>
        <v>korawit.chn@student.mahidol.ac.th</v>
      </c>
    </row>
    <row r="946" spans="1:29" ht="27">
      <c r="A946" s="62"/>
      <c r="B946" s="27">
        <f t="shared" si="52"/>
        <v>66</v>
      </c>
      <c r="C946" s="27">
        <f t="shared" si="53"/>
        <v>2026</v>
      </c>
      <c r="D946" s="39"/>
      <c r="E946" s="19">
        <v>6688014</v>
      </c>
      <c r="F946" s="20" t="s">
        <v>38</v>
      </c>
      <c r="G946" s="20" t="s">
        <v>3602</v>
      </c>
      <c r="H946" s="32" t="s">
        <v>3603</v>
      </c>
      <c r="I946" s="25" t="s">
        <v>64</v>
      </c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 t="s">
        <v>3604</v>
      </c>
      <c r="Y946" s="25"/>
      <c r="Z946" s="25"/>
      <c r="AA946" s="40"/>
      <c r="AB946" s="40"/>
      <c r="AC946" s="25" t="str">
        <f>TRIM(StudentScore[[#This Row],[Student Email]])</f>
        <v>chatnarin.cha@student.mahidol.ac.th</v>
      </c>
    </row>
    <row r="947" spans="1:29" ht="27">
      <c r="A947" s="62"/>
      <c r="B947" s="27">
        <f t="shared" si="52"/>
        <v>66</v>
      </c>
      <c r="C947" s="27">
        <f t="shared" si="53"/>
        <v>2026</v>
      </c>
      <c r="D947" s="39"/>
      <c r="E947" s="19">
        <v>6688015</v>
      </c>
      <c r="F947" s="20" t="s">
        <v>117</v>
      </c>
      <c r="G947" s="20" t="s">
        <v>3605</v>
      </c>
      <c r="H947" s="32" t="s">
        <v>3606</v>
      </c>
      <c r="I947" s="25" t="s">
        <v>64</v>
      </c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 t="s">
        <v>3607</v>
      </c>
      <c r="Y947" s="25"/>
      <c r="Z947" s="25"/>
      <c r="AA947" s="40"/>
      <c r="AB947" s="40"/>
      <c r="AC947" s="25" t="str">
        <f>TRIM(StudentScore[[#This Row],[Student Email]])</f>
        <v>rawisara.chn@student.mahidol.ac.th</v>
      </c>
    </row>
    <row r="948" spans="1:29" ht="27">
      <c r="A948" s="62"/>
      <c r="B948" s="27">
        <f t="shared" si="52"/>
        <v>66</v>
      </c>
      <c r="C948" s="27">
        <f t="shared" si="53"/>
        <v>2026</v>
      </c>
      <c r="D948" s="39"/>
      <c r="E948" s="19">
        <v>6688016</v>
      </c>
      <c r="F948" s="20" t="s">
        <v>117</v>
      </c>
      <c r="G948" s="20" t="s">
        <v>3608</v>
      </c>
      <c r="H948" s="32" t="s">
        <v>3609</v>
      </c>
      <c r="I948" s="25" t="s">
        <v>64</v>
      </c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 t="s">
        <v>3610</v>
      </c>
      <c r="Y948" s="25"/>
      <c r="Z948" s="25"/>
      <c r="AA948" s="40"/>
      <c r="AB948" s="40"/>
      <c r="AC948" s="25" t="str">
        <f>TRIM(StudentScore[[#This Row],[Student Email]])</f>
        <v>teerada.cht@student.mahidol.ac.th</v>
      </c>
    </row>
    <row r="949" spans="1:29" ht="27">
      <c r="A949" s="62"/>
      <c r="B949" s="27">
        <f t="shared" si="52"/>
        <v>66</v>
      </c>
      <c r="C949" s="27">
        <f t="shared" si="53"/>
        <v>2026</v>
      </c>
      <c r="D949" s="39"/>
      <c r="E949" s="19">
        <v>6688017</v>
      </c>
      <c r="F949" s="20" t="s">
        <v>38</v>
      </c>
      <c r="G949" s="20" t="s">
        <v>3611</v>
      </c>
      <c r="H949" s="32" t="s">
        <v>3612</v>
      </c>
      <c r="I949" s="25" t="s">
        <v>64</v>
      </c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 t="s">
        <v>3613</v>
      </c>
      <c r="Y949" s="25"/>
      <c r="Z949" s="25"/>
      <c r="AA949" s="40"/>
      <c r="AB949" s="40"/>
      <c r="AC949" s="25" t="str">
        <f>TRIM(StudentScore[[#This Row],[Student Email]])</f>
        <v>narusorn.cho@student.mahidol.ac.th</v>
      </c>
    </row>
    <row r="950" spans="1:29" ht="27">
      <c r="A950" s="62"/>
      <c r="B950" s="27">
        <f t="shared" si="52"/>
        <v>66</v>
      </c>
      <c r="C950" s="27">
        <f t="shared" si="53"/>
        <v>2026</v>
      </c>
      <c r="D950" s="39"/>
      <c r="E950" s="19">
        <v>6688018</v>
      </c>
      <c r="F950" s="20" t="s">
        <v>38</v>
      </c>
      <c r="G950" s="20" t="s">
        <v>3614</v>
      </c>
      <c r="H950" s="32" t="s">
        <v>3615</v>
      </c>
      <c r="I950" s="25" t="s">
        <v>64</v>
      </c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 t="s">
        <v>3616</v>
      </c>
      <c r="Y950" s="25"/>
      <c r="Z950" s="25"/>
      <c r="AA950" s="40"/>
      <c r="AB950" s="40"/>
      <c r="AC950" s="25" t="str">
        <f>TRIM(StudentScore[[#This Row],[Student Email]])</f>
        <v>nontapath.cho@student.mahidol.ac.th</v>
      </c>
    </row>
    <row r="951" spans="1:29" ht="27">
      <c r="A951" s="62"/>
      <c r="B951" s="27">
        <f t="shared" si="52"/>
        <v>66</v>
      </c>
      <c r="C951" s="27">
        <f t="shared" si="53"/>
        <v>2026</v>
      </c>
      <c r="D951" s="39"/>
      <c r="E951" s="19">
        <v>6688019</v>
      </c>
      <c r="F951" s="20" t="s">
        <v>38</v>
      </c>
      <c r="G951" s="20" t="s">
        <v>3617</v>
      </c>
      <c r="H951" s="32" t="s">
        <v>3618</v>
      </c>
      <c r="I951" s="25" t="s">
        <v>64</v>
      </c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 t="s">
        <v>3619</v>
      </c>
      <c r="Y951" s="25"/>
      <c r="Z951" s="25"/>
      <c r="AA951" s="40"/>
      <c r="AB951" s="40"/>
      <c r="AC951" s="25" t="str">
        <f>TRIM(StudentScore[[#This Row],[Student Email]])</f>
        <v>suphachok.chu@student.mahidol.ac.th</v>
      </c>
    </row>
    <row r="952" spans="1:29" ht="27">
      <c r="A952" s="62"/>
      <c r="B952" s="27">
        <f t="shared" si="52"/>
        <v>66</v>
      </c>
      <c r="C952" s="27">
        <f t="shared" si="53"/>
        <v>2026</v>
      </c>
      <c r="D952" s="39"/>
      <c r="E952" s="19">
        <v>6688020</v>
      </c>
      <c r="F952" s="20" t="s">
        <v>117</v>
      </c>
      <c r="G952" s="20" t="s">
        <v>3620</v>
      </c>
      <c r="H952" s="32" t="s">
        <v>3621</v>
      </c>
      <c r="I952" s="25" t="s">
        <v>64</v>
      </c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 t="s">
        <v>3622</v>
      </c>
      <c r="Y952" s="25"/>
      <c r="Z952" s="25"/>
      <c r="AA952" s="40"/>
      <c r="AB952" s="40"/>
      <c r="AC952" s="25" t="str">
        <f>TRIM(StudentScore[[#This Row],[Student Email]])</f>
        <v>bhornpailin.chu@student.mahidol.ac.th</v>
      </c>
    </row>
    <row r="953" spans="1:29" ht="27">
      <c r="A953" s="62"/>
      <c r="B953" s="27">
        <f t="shared" si="52"/>
        <v>66</v>
      </c>
      <c r="C953" s="27">
        <f t="shared" si="53"/>
        <v>2026</v>
      </c>
      <c r="D953" s="39"/>
      <c r="E953" s="19">
        <v>6688021</v>
      </c>
      <c r="F953" s="20" t="s">
        <v>38</v>
      </c>
      <c r="G953" s="20" t="s">
        <v>3623</v>
      </c>
      <c r="H953" s="32" t="s">
        <v>3624</v>
      </c>
      <c r="I953" s="25" t="s">
        <v>64</v>
      </c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 t="s">
        <v>3625</v>
      </c>
      <c r="Y953" s="25"/>
      <c r="Z953" s="25"/>
      <c r="AA953" s="40"/>
      <c r="AB953" s="40"/>
      <c r="AC953" s="25" t="str">
        <f>TRIM(StudentScore[[#This Row],[Student Email]])</f>
        <v>apinut.cot@student.mahidol.ac.th</v>
      </c>
    </row>
    <row r="954" spans="1:29" ht="27">
      <c r="A954" s="62"/>
      <c r="B954" s="27">
        <f t="shared" si="52"/>
        <v>66</v>
      </c>
      <c r="C954" s="27">
        <f t="shared" si="53"/>
        <v>2026</v>
      </c>
      <c r="D954" s="39"/>
      <c r="E954" s="19">
        <v>6688022</v>
      </c>
      <c r="F954" s="20" t="s">
        <v>38</v>
      </c>
      <c r="G954" s="20" t="s">
        <v>3626</v>
      </c>
      <c r="H954" s="32" t="s">
        <v>3627</v>
      </c>
      <c r="I954" s="25" t="s">
        <v>64</v>
      </c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 t="s">
        <v>3628</v>
      </c>
      <c r="Y954" s="25"/>
      <c r="Z954" s="25"/>
      <c r="AA954" s="40"/>
      <c r="AB954" s="40"/>
      <c r="AC954" s="25" t="str">
        <f>TRIM(StudentScore[[#This Row],[Student Email]])</f>
        <v>ruboon.dej@student.mahidol.ac.th</v>
      </c>
    </row>
    <row r="955" spans="1:29" ht="27">
      <c r="A955" s="62"/>
      <c r="B955" s="27">
        <f t="shared" si="52"/>
        <v>66</v>
      </c>
      <c r="C955" s="27">
        <f t="shared" si="53"/>
        <v>2026</v>
      </c>
      <c r="D955" s="39"/>
      <c r="E955" s="19">
        <v>6688023</v>
      </c>
      <c r="F955" s="20" t="s">
        <v>117</v>
      </c>
      <c r="G955" s="20" t="s">
        <v>3629</v>
      </c>
      <c r="H955" s="32" t="s">
        <v>3630</v>
      </c>
      <c r="I955" s="25" t="s">
        <v>64</v>
      </c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 t="s">
        <v>3631</v>
      </c>
      <c r="Y955" s="25"/>
      <c r="Z955" s="25"/>
      <c r="AA955" s="40"/>
      <c r="AB955" s="40"/>
      <c r="AC955" s="25" t="str">
        <f>TRIM(StudentScore[[#This Row],[Student Email]])</f>
        <v>pravetida.ekp@student.mahidol.ac.th</v>
      </c>
    </row>
    <row r="956" spans="1:29" ht="27">
      <c r="A956" s="62"/>
      <c r="B956" s="27">
        <f t="shared" si="52"/>
        <v>66</v>
      </c>
      <c r="C956" s="27">
        <f t="shared" si="53"/>
        <v>2026</v>
      </c>
      <c r="D956" s="39"/>
      <c r="E956" s="19">
        <v>6688024</v>
      </c>
      <c r="F956" s="20" t="s">
        <v>117</v>
      </c>
      <c r="G956" s="20" t="s">
        <v>3632</v>
      </c>
      <c r="H956" s="32" t="s">
        <v>3633</v>
      </c>
      <c r="I956" s="25" t="s">
        <v>64</v>
      </c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 t="s">
        <v>3634</v>
      </c>
      <c r="Y956" s="25"/>
      <c r="Z956" s="25"/>
      <c r="AA956" s="40"/>
      <c r="AB956" s="40"/>
      <c r="AC956" s="25" t="str">
        <f>TRIM(StudentScore[[#This Row],[Student Email]])</f>
        <v>pawarisa.emk@student.mahidol.ac.th</v>
      </c>
    </row>
    <row r="957" spans="1:29" ht="27">
      <c r="A957" s="62"/>
      <c r="B957" s="27">
        <f t="shared" si="52"/>
        <v>66</v>
      </c>
      <c r="C957" s="27">
        <f t="shared" si="53"/>
        <v>2026</v>
      </c>
      <c r="D957" s="39"/>
      <c r="E957" s="19">
        <v>6688025</v>
      </c>
      <c r="F957" s="20" t="s">
        <v>38</v>
      </c>
      <c r="G957" s="20" t="s">
        <v>3635</v>
      </c>
      <c r="H957" s="32" t="s">
        <v>3636</v>
      </c>
      <c r="I957" s="25" t="s">
        <v>64</v>
      </c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 t="s">
        <v>3637</v>
      </c>
      <c r="Y957" s="25"/>
      <c r="Z957" s="25"/>
      <c r="AA957" s="40"/>
      <c r="AB957" s="40"/>
      <c r="AC957" s="25" t="str">
        <f>TRIM(StudentScore[[#This Row],[Student Email]])</f>
        <v>khunpon.emp@student.mahidol.ac.th</v>
      </c>
    </row>
    <row r="958" spans="1:29" ht="27">
      <c r="A958" s="62"/>
      <c r="B958" s="27">
        <f t="shared" si="52"/>
        <v>66</v>
      </c>
      <c r="C958" s="27">
        <f t="shared" si="53"/>
        <v>2026</v>
      </c>
      <c r="D958" s="39"/>
      <c r="E958" s="19">
        <v>6688026</v>
      </c>
      <c r="F958" s="20" t="s">
        <v>38</v>
      </c>
      <c r="G958" s="20" t="s">
        <v>3638</v>
      </c>
      <c r="H958" s="32" t="s">
        <v>3639</v>
      </c>
      <c r="I958" s="25" t="s">
        <v>64</v>
      </c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 t="s">
        <v>3640</v>
      </c>
      <c r="Y958" s="25"/>
      <c r="Z958" s="25"/>
      <c r="AA958" s="40"/>
      <c r="AB958" s="40"/>
      <c r="AC958" s="25" t="str">
        <f>TRIM(StudentScore[[#This Row],[Student Email]])</f>
        <v>paulwit.fak@student.mahidol.ac.th</v>
      </c>
    </row>
    <row r="959" spans="1:29" ht="27">
      <c r="A959" s="62"/>
      <c r="B959" s="27">
        <f t="shared" si="52"/>
        <v>66</v>
      </c>
      <c r="C959" s="27">
        <f t="shared" si="53"/>
        <v>2026</v>
      </c>
      <c r="D959" s="39"/>
      <c r="E959" s="19">
        <v>6688027</v>
      </c>
      <c r="F959" s="20" t="s">
        <v>117</v>
      </c>
      <c r="G959" s="20" t="s">
        <v>3641</v>
      </c>
      <c r="H959" s="32" t="s">
        <v>1383</v>
      </c>
      <c r="I959" s="25" t="s">
        <v>64</v>
      </c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 t="s">
        <v>3642</v>
      </c>
      <c r="Y959" s="25"/>
      <c r="Z959" s="25"/>
      <c r="AA959" s="40"/>
      <c r="AB959" s="40"/>
      <c r="AC959" s="25" t="str">
        <f>TRIM(StudentScore[[#This Row],[Student Email]])</f>
        <v>yuhan.hua@student.mahidol.ac.th</v>
      </c>
    </row>
    <row r="960" spans="1:29" ht="27">
      <c r="A960" s="62"/>
      <c r="B960" s="27">
        <f t="shared" si="52"/>
        <v>66</v>
      </c>
      <c r="C960" s="27">
        <f t="shared" si="53"/>
        <v>2026</v>
      </c>
      <c r="D960" s="39"/>
      <c r="E960" s="19">
        <v>6688028</v>
      </c>
      <c r="F960" s="20" t="s">
        <v>38</v>
      </c>
      <c r="G960" s="20" t="s">
        <v>3643</v>
      </c>
      <c r="H960" s="32" t="s">
        <v>3644</v>
      </c>
      <c r="I960" s="25" t="s">
        <v>64</v>
      </c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 t="s">
        <v>3645</v>
      </c>
      <c r="Y960" s="25"/>
      <c r="Z960" s="25"/>
      <c r="AA960" s="40"/>
      <c r="AB960" s="40"/>
      <c r="AC960" s="25" t="str">
        <f>TRIM(StudentScore[[#This Row],[Student Email]])</f>
        <v>phutharin.iam@student.mahidol.ac.th</v>
      </c>
    </row>
    <row r="961" spans="1:29" ht="27">
      <c r="A961" s="62"/>
      <c r="B961" s="27">
        <f t="shared" si="52"/>
        <v>66</v>
      </c>
      <c r="C961" s="27">
        <f t="shared" si="53"/>
        <v>2026</v>
      </c>
      <c r="D961" s="39"/>
      <c r="E961" s="19">
        <v>6688029</v>
      </c>
      <c r="F961" s="20" t="s">
        <v>38</v>
      </c>
      <c r="G961" s="20" t="s">
        <v>3646</v>
      </c>
      <c r="H961" s="32" t="s">
        <v>3647</v>
      </c>
      <c r="I961" s="25" t="s">
        <v>64</v>
      </c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 t="s">
        <v>3648</v>
      </c>
      <c r="Y961" s="25"/>
      <c r="Z961" s="25"/>
      <c r="AA961" s="40"/>
      <c r="AB961" s="40"/>
      <c r="AC961" s="25" t="str">
        <f>TRIM(StudentScore[[#This Row],[Student Email]])</f>
        <v>phurinat.int@student.mahidol.ac.th</v>
      </c>
    </row>
    <row r="962" spans="1:29" ht="27">
      <c r="A962" s="62"/>
      <c r="B962" s="27">
        <f t="shared" si="52"/>
        <v>66</v>
      </c>
      <c r="C962" s="27">
        <f t="shared" si="53"/>
        <v>2026</v>
      </c>
      <c r="D962" s="39"/>
      <c r="E962" s="19">
        <v>6688030</v>
      </c>
      <c r="F962" s="20" t="s">
        <v>38</v>
      </c>
      <c r="G962" s="20" t="s">
        <v>3649</v>
      </c>
      <c r="H962" s="32" t="s">
        <v>3650</v>
      </c>
      <c r="I962" s="25" t="s">
        <v>64</v>
      </c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 t="s">
        <v>3651</v>
      </c>
      <c r="Y962" s="25"/>
      <c r="Z962" s="25"/>
      <c r="AA962" s="40"/>
      <c r="AB962" s="40"/>
      <c r="AC962" s="25" t="str">
        <f>TRIM(StudentScore[[#This Row],[Student Email]])</f>
        <v>sarach.isl@student.mahidol.ac.th</v>
      </c>
    </row>
    <row r="963" spans="1:29" ht="27">
      <c r="A963" s="62"/>
      <c r="B963" s="27">
        <f t="shared" si="52"/>
        <v>66</v>
      </c>
      <c r="C963" s="27">
        <f t="shared" si="53"/>
        <v>2026</v>
      </c>
      <c r="D963" s="39"/>
      <c r="E963" s="19">
        <v>6688031</v>
      </c>
      <c r="F963" s="20" t="s">
        <v>38</v>
      </c>
      <c r="G963" s="20" t="s">
        <v>3652</v>
      </c>
      <c r="H963" s="32" t="s">
        <v>3653</v>
      </c>
      <c r="I963" s="25" t="s">
        <v>64</v>
      </c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 t="s">
        <v>3654</v>
      </c>
      <c r="Y963" s="25"/>
      <c r="Z963" s="25"/>
      <c r="AA963" s="40"/>
      <c r="AB963" s="40"/>
      <c r="AC963" s="25" t="str">
        <f>TRIM(StudentScore[[#This Row],[Student Email]])</f>
        <v>watcharawit.itt@student.mahidol.ac.th</v>
      </c>
    </row>
    <row r="964" spans="1:29" ht="27">
      <c r="A964" s="62"/>
      <c r="B964" s="27">
        <f t="shared" si="52"/>
        <v>66</v>
      </c>
      <c r="C964" s="27">
        <f t="shared" si="53"/>
        <v>2026</v>
      </c>
      <c r="D964" s="39"/>
      <c r="E964" s="19">
        <v>6688032</v>
      </c>
      <c r="F964" s="20" t="s">
        <v>117</v>
      </c>
      <c r="G964" s="20" t="s">
        <v>3655</v>
      </c>
      <c r="H964" s="32" t="s">
        <v>3656</v>
      </c>
      <c r="I964" s="25" t="s">
        <v>64</v>
      </c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 t="s">
        <v>3657</v>
      </c>
      <c r="Y964" s="25"/>
      <c r="Z964" s="25"/>
      <c r="AA964" s="40"/>
      <c r="AB964" s="40"/>
      <c r="AC964" s="25" t="str">
        <f>TRIM(StudentScore[[#This Row],[Student Email]])</f>
        <v>nipada.jad@student.mahidol.ac.th</v>
      </c>
    </row>
    <row r="965" spans="1:29" ht="27">
      <c r="A965" s="62"/>
      <c r="B965" s="27">
        <f t="shared" si="52"/>
        <v>66</v>
      </c>
      <c r="C965" s="27">
        <f t="shared" si="53"/>
        <v>2026</v>
      </c>
      <c r="D965" s="39"/>
      <c r="E965" s="19">
        <v>6688033</v>
      </c>
      <c r="F965" s="20" t="s">
        <v>117</v>
      </c>
      <c r="G965" s="20" t="s">
        <v>3658</v>
      </c>
      <c r="H965" s="32" t="s">
        <v>3659</v>
      </c>
      <c r="I965" s="25" t="s">
        <v>64</v>
      </c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 t="s">
        <v>3660</v>
      </c>
      <c r="Y965" s="25"/>
      <c r="Z965" s="25"/>
      <c r="AA965" s="40"/>
      <c r="AB965" s="40"/>
      <c r="AC965" s="25" t="str">
        <f>TRIM(StudentScore[[#This Row],[Student Email]])</f>
        <v>jinnapat.jai@student.mahidol.ac.th</v>
      </c>
    </row>
    <row r="966" spans="1:29" ht="27">
      <c r="A966" s="62"/>
      <c r="B966" s="27">
        <f t="shared" si="52"/>
        <v>66</v>
      </c>
      <c r="C966" s="27">
        <f t="shared" si="53"/>
        <v>2026</v>
      </c>
      <c r="D966" s="39"/>
      <c r="E966" s="19">
        <v>6688034</v>
      </c>
      <c r="F966" s="20" t="s">
        <v>38</v>
      </c>
      <c r="G966" s="20" t="s">
        <v>3661</v>
      </c>
      <c r="H966" s="32" t="s">
        <v>3662</v>
      </c>
      <c r="I966" s="25" t="s">
        <v>64</v>
      </c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 t="s">
        <v>3663</v>
      </c>
      <c r="Y966" s="25"/>
      <c r="Z966" s="25"/>
      <c r="AA966" s="40"/>
      <c r="AB966" s="40"/>
      <c r="AC966" s="25" t="str">
        <f>TRIM(StudentScore[[#This Row],[Student Email]])</f>
        <v>phacharapol.jam@student.mahidol.ac.th</v>
      </c>
    </row>
    <row r="967" spans="1:29" ht="27">
      <c r="A967" s="62"/>
      <c r="B967" s="27">
        <f t="shared" si="52"/>
        <v>66</v>
      </c>
      <c r="C967" s="27">
        <f t="shared" si="53"/>
        <v>2026</v>
      </c>
      <c r="D967" s="39"/>
      <c r="E967" s="19">
        <v>6688035</v>
      </c>
      <c r="F967" s="20" t="s">
        <v>38</v>
      </c>
      <c r="G967" s="20" t="s">
        <v>3664</v>
      </c>
      <c r="H967" s="32" t="s">
        <v>3665</v>
      </c>
      <c r="I967" s="25" t="s">
        <v>64</v>
      </c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 t="s">
        <v>3666</v>
      </c>
      <c r="Y967" s="25"/>
      <c r="Z967" s="25"/>
      <c r="AA967" s="40"/>
      <c r="AB967" s="40"/>
      <c r="AC967" s="25" t="str">
        <f>TRIM(StudentScore[[#This Row],[Student Email]])</f>
        <v>paputana.jan@student.mahidol.ac.th</v>
      </c>
    </row>
    <row r="968" spans="1:29" ht="27">
      <c r="A968" s="62"/>
      <c r="B968" s="27">
        <f t="shared" si="52"/>
        <v>66</v>
      </c>
      <c r="C968" s="27">
        <f t="shared" si="53"/>
        <v>2026</v>
      </c>
      <c r="D968" s="39"/>
      <c r="E968" s="19">
        <v>6688036</v>
      </c>
      <c r="F968" s="20" t="s">
        <v>38</v>
      </c>
      <c r="G968" s="20" t="s">
        <v>3667</v>
      </c>
      <c r="H968" s="32" t="s">
        <v>3668</v>
      </c>
      <c r="I968" s="25" t="s">
        <v>64</v>
      </c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 t="s">
        <v>3669</v>
      </c>
      <c r="Y968" s="25"/>
      <c r="Z968" s="25"/>
      <c r="AA968" s="40"/>
      <c r="AB968" s="40"/>
      <c r="AC968" s="25" t="str">
        <f>TRIM(StudentScore[[#This Row],[Student Email]])</f>
        <v>pisit.jir@student.mahidol.ac.th</v>
      </c>
    </row>
    <row r="969" spans="1:29" ht="27">
      <c r="A969" s="62"/>
      <c r="B969" s="27">
        <f t="shared" si="52"/>
        <v>66</v>
      </c>
      <c r="C969" s="27">
        <f t="shared" si="53"/>
        <v>2026</v>
      </c>
      <c r="D969" s="39"/>
      <c r="E969" s="19">
        <v>6688037</v>
      </c>
      <c r="F969" s="20" t="s">
        <v>38</v>
      </c>
      <c r="G969" s="20" t="s">
        <v>3670</v>
      </c>
      <c r="H969" s="32" t="s">
        <v>3671</v>
      </c>
      <c r="I969" s="25" t="s">
        <v>64</v>
      </c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 t="s">
        <v>3672</v>
      </c>
      <c r="Y969" s="25"/>
      <c r="Z969" s="25"/>
      <c r="AA969" s="40"/>
      <c r="AB969" s="40"/>
      <c r="AC969" s="25" t="str">
        <f>TRIM(StudentScore[[#This Row],[Student Email]])</f>
        <v>suparuek.kae@student.mahidol.ac.th</v>
      </c>
    </row>
    <row r="970" spans="1:29" ht="27">
      <c r="A970" s="62"/>
      <c r="B970" s="27">
        <f t="shared" si="52"/>
        <v>66</v>
      </c>
      <c r="C970" s="27">
        <f t="shared" si="53"/>
        <v>2026</v>
      </c>
      <c r="D970" s="39"/>
      <c r="E970" s="19">
        <v>6688038</v>
      </c>
      <c r="F970" s="20" t="s">
        <v>117</v>
      </c>
      <c r="G970" s="20" t="s">
        <v>2312</v>
      </c>
      <c r="H970" s="32" t="s">
        <v>3673</v>
      </c>
      <c r="I970" s="25" t="s">
        <v>64</v>
      </c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 t="s">
        <v>3674</v>
      </c>
      <c r="Y970" s="25"/>
      <c r="Z970" s="25"/>
      <c r="AA970" s="40"/>
      <c r="AB970" s="40"/>
      <c r="AC970" s="25" t="str">
        <f>TRIM(StudentScore[[#This Row],[Student Email]])</f>
        <v>chanikarn.kaw@student.mahidol.ac.th</v>
      </c>
    </row>
    <row r="971" spans="1:29" ht="27">
      <c r="A971" s="62"/>
      <c r="B971" s="27">
        <f t="shared" si="52"/>
        <v>66</v>
      </c>
      <c r="C971" s="27">
        <f t="shared" si="53"/>
        <v>2026</v>
      </c>
      <c r="D971" s="39"/>
      <c r="E971" s="19">
        <v>6688039</v>
      </c>
      <c r="F971" s="20" t="s">
        <v>38</v>
      </c>
      <c r="G971" s="20" t="s">
        <v>744</v>
      </c>
      <c r="H971" s="32" t="s">
        <v>3675</v>
      </c>
      <c r="I971" s="25" t="s">
        <v>64</v>
      </c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 t="s">
        <v>3676</v>
      </c>
      <c r="Y971" s="25"/>
      <c r="Z971" s="25"/>
      <c r="AA971" s="40"/>
      <c r="AB971" s="40"/>
      <c r="AC971" s="25" t="str">
        <f>TRIM(StudentScore[[#This Row],[Student Email]])</f>
        <v>thanakorn.kas@student.mahidol.ac.th</v>
      </c>
    </row>
    <row r="972" spans="1:29" ht="27">
      <c r="A972" s="62"/>
      <c r="B972" s="27">
        <f t="shared" si="52"/>
        <v>66</v>
      </c>
      <c r="C972" s="27">
        <f t="shared" si="53"/>
        <v>2026</v>
      </c>
      <c r="D972" s="39"/>
      <c r="E972" s="19">
        <v>6688040</v>
      </c>
      <c r="F972" s="20" t="s">
        <v>38</v>
      </c>
      <c r="G972" s="20" t="s">
        <v>3677</v>
      </c>
      <c r="H972" s="32" t="s">
        <v>1845</v>
      </c>
      <c r="I972" s="25" t="s">
        <v>64</v>
      </c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 t="s">
        <v>3678</v>
      </c>
      <c r="Y972" s="25"/>
      <c r="Z972" s="25"/>
      <c r="AA972" s="40"/>
      <c r="AB972" s="40"/>
      <c r="AC972" s="25" t="str">
        <f>TRIM(StudentScore[[#This Row],[Student Email]])</f>
        <v>sippakorn.kan@student.mahidol.ac.th</v>
      </c>
    </row>
    <row r="973" spans="1:29" ht="27">
      <c r="A973" s="62"/>
      <c r="B973" s="27">
        <f t="shared" si="52"/>
        <v>66</v>
      </c>
      <c r="C973" s="27">
        <f t="shared" si="53"/>
        <v>2026</v>
      </c>
      <c r="D973" s="39"/>
      <c r="E973" s="19">
        <v>6688041</v>
      </c>
      <c r="F973" s="20" t="s">
        <v>38</v>
      </c>
      <c r="G973" s="20" t="s">
        <v>3679</v>
      </c>
      <c r="H973" s="32" t="s">
        <v>3680</v>
      </c>
      <c r="I973" s="25" t="s">
        <v>64</v>
      </c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 t="s">
        <v>3681</v>
      </c>
      <c r="Y973" s="25"/>
      <c r="Z973" s="25"/>
      <c r="AA973" s="40"/>
      <c r="AB973" s="40"/>
      <c r="AC973" s="25" t="str">
        <f>TRIM(StudentScore[[#This Row],[Student Email]])</f>
        <v>chaowaphat.kan@student.mahidol.ac.th</v>
      </c>
    </row>
    <row r="974" spans="1:29" ht="27">
      <c r="A974" s="62"/>
      <c r="B974" s="27">
        <f t="shared" si="52"/>
        <v>66</v>
      </c>
      <c r="C974" s="27">
        <f t="shared" si="53"/>
        <v>2026</v>
      </c>
      <c r="D974" s="39"/>
      <c r="E974" s="19">
        <v>6688042</v>
      </c>
      <c r="F974" s="20" t="s">
        <v>38</v>
      </c>
      <c r="G974" s="20" t="s">
        <v>3682</v>
      </c>
      <c r="H974" s="32" t="s">
        <v>3683</v>
      </c>
      <c r="I974" s="25" t="s">
        <v>64</v>
      </c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 t="s">
        <v>3684</v>
      </c>
      <c r="Y974" s="25"/>
      <c r="Z974" s="25"/>
      <c r="AA974" s="40"/>
      <c r="AB974" s="40"/>
      <c r="AC974" s="25" t="str">
        <f>TRIM(StudentScore[[#This Row],[Student Email]])</f>
        <v>punnawit.kan@student.mahidol.ac.th</v>
      </c>
    </row>
    <row r="975" spans="1:29" ht="27">
      <c r="A975" s="62"/>
      <c r="B975" s="27">
        <f t="shared" si="52"/>
        <v>66</v>
      </c>
      <c r="C975" s="27">
        <f t="shared" si="53"/>
        <v>2026</v>
      </c>
      <c r="D975" s="39"/>
      <c r="E975" s="19">
        <v>6688045</v>
      </c>
      <c r="F975" s="20" t="s">
        <v>38</v>
      </c>
      <c r="G975" s="20" t="s">
        <v>3685</v>
      </c>
      <c r="H975" s="32" t="s">
        <v>3686</v>
      </c>
      <c r="I975" s="25" t="s">
        <v>64</v>
      </c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 t="s">
        <v>3687</v>
      </c>
      <c r="Y975" s="25"/>
      <c r="Z975" s="25"/>
      <c r="AA975" s="40"/>
      <c r="AB975" s="40"/>
      <c r="AC975" s="25" t="str">
        <f>TRIM(StudentScore[[#This Row],[Student Email]])</f>
        <v>voralop.ket@student.mahidol.ac.th</v>
      </c>
    </row>
    <row r="976" spans="1:29" ht="27">
      <c r="A976" s="62"/>
      <c r="B976" s="27">
        <f t="shared" si="52"/>
        <v>66</v>
      </c>
      <c r="C976" s="27">
        <f t="shared" si="53"/>
        <v>2026</v>
      </c>
      <c r="D976" s="39"/>
      <c r="E976" s="19">
        <v>6688046</v>
      </c>
      <c r="F976" s="20" t="s">
        <v>38</v>
      </c>
      <c r="G976" s="20" t="s">
        <v>3688</v>
      </c>
      <c r="H976" s="32" t="s">
        <v>3689</v>
      </c>
      <c r="I976" s="25" t="s">
        <v>64</v>
      </c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 t="s">
        <v>3690</v>
      </c>
      <c r="Y976" s="25"/>
      <c r="Z976" s="25"/>
      <c r="AA976" s="40"/>
      <c r="AB976" s="40"/>
      <c r="AC976" s="25" t="str">
        <f>TRIM(StudentScore[[#This Row],[Student Email]])</f>
        <v>warut.kha@student.mahidol.ac.th</v>
      </c>
    </row>
    <row r="977" spans="1:29" ht="27">
      <c r="A977" s="62"/>
      <c r="B977" s="27">
        <f t="shared" si="52"/>
        <v>66</v>
      </c>
      <c r="C977" s="27">
        <f t="shared" si="53"/>
        <v>2026</v>
      </c>
      <c r="D977" s="39"/>
      <c r="E977" s="19">
        <v>6688047</v>
      </c>
      <c r="F977" s="20" t="s">
        <v>117</v>
      </c>
      <c r="G977" s="20" t="s">
        <v>3691</v>
      </c>
      <c r="H977" s="32" t="s">
        <v>3692</v>
      </c>
      <c r="I977" s="25" t="s">
        <v>64</v>
      </c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 t="s">
        <v>3693</v>
      </c>
      <c r="Y977" s="25"/>
      <c r="Z977" s="25"/>
      <c r="AA977" s="40"/>
      <c r="AB977" s="40"/>
      <c r="AC977" s="25" t="str">
        <f>TRIM(StudentScore[[#This Row],[Student Email]])</f>
        <v>kulchaya.kmo@student.mahidol.ac.th</v>
      </c>
    </row>
    <row r="978" spans="1:29" ht="27">
      <c r="A978" s="62"/>
      <c r="B978" s="27">
        <f t="shared" si="52"/>
        <v>66</v>
      </c>
      <c r="C978" s="27">
        <f t="shared" si="53"/>
        <v>2026</v>
      </c>
      <c r="D978" s="39"/>
      <c r="E978" s="19">
        <v>6688049</v>
      </c>
      <c r="F978" s="20" t="s">
        <v>117</v>
      </c>
      <c r="G978" s="20" t="s">
        <v>3694</v>
      </c>
      <c r="H978" s="32" t="s">
        <v>3695</v>
      </c>
      <c r="I978" s="25" t="s">
        <v>64</v>
      </c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 t="s">
        <v>3696</v>
      </c>
      <c r="Y978" s="25"/>
      <c r="Z978" s="25"/>
      <c r="AA978" s="40"/>
      <c r="AB978" s="40"/>
      <c r="AC978" s="25" t="str">
        <f>TRIM(StudentScore[[#This Row],[Student Email]])</f>
        <v>thanyathip.kor@student.mahidol.ac.th</v>
      </c>
    </row>
    <row r="979" spans="1:29" ht="27">
      <c r="A979" s="62"/>
      <c r="B979" s="27">
        <f t="shared" si="52"/>
        <v>66</v>
      </c>
      <c r="C979" s="27">
        <f t="shared" si="53"/>
        <v>2026</v>
      </c>
      <c r="D979" s="39"/>
      <c r="E979" s="19">
        <v>6688050</v>
      </c>
      <c r="F979" s="20" t="s">
        <v>38</v>
      </c>
      <c r="G979" s="20" t="s">
        <v>3697</v>
      </c>
      <c r="H979" s="32" t="s">
        <v>3698</v>
      </c>
      <c r="I979" s="25" t="s">
        <v>64</v>
      </c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 t="s">
        <v>3699</v>
      </c>
      <c r="Y979" s="25"/>
      <c r="Z979" s="25"/>
      <c r="AA979" s="40"/>
      <c r="AB979" s="40"/>
      <c r="AC979" s="25" t="str">
        <f>TRIM(StudentScore[[#This Row],[Student Email]])</f>
        <v>chaiwat.kor@student.mahidol.ac.th</v>
      </c>
    </row>
    <row r="980" spans="1:29" ht="27">
      <c r="A980" s="62"/>
      <c r="B980" s="27">
        <f t="shared" si="52"/>
        <v>66</v>
      </c>
      <c r="C980" s="27">
        <f t="shared" si="53"/>
        <v>2026</v>
      </c>
      <c r="D980" s="39"/>
      <c r="E980" s="19">
        <v>6688051</v>
      </c>
      <c r="F980" s="20" t="s">
        <v>38</v>
      </c>
      <c r="G980" s="20" t="s">
        <v>1312</v>
      </c>
      <c r="H980" s="32" t="s">
        <v>3700</v>
      </c>
      <c r="I980" s="25" t="s">
        <v>64</v>
      </c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 t="s">
        <v>3701</v>
      </c>
      <c r="Y980" s="25"/>
      <c r="Z980" s="25"/>
      <c r="AA980" s="40"/>
      <c r="AB980" s="40"/>
      <c r="AC980" s="25" t="str">
        <f>TRIM(StudentScore[[#This Row],[Student Email]])</f>
        <v>nattapat.kri@student.mahidol.ac.th</v>
      </c>
    </row>
    <row r="981" spans="1:29" ht="27">
      <c r="A981" s="62"/>
      <c r="B981" s="27">
        <f t="shared" si="52"/>
        <v>66</v>
      </c>
      <c r="C981" s="27">
        <f t="shared" si="53"/>
        <v>2026</v>
      </c>
      <c r="D981" s="39"/>
      <c r="E981" s="19">
        <v>6688052</v>
      </c>
      <c r="F981" s="20" t="s">
        <v>38</v>
      </c>
      <c r="G981" s="20" t="s">
        <v>3702</v>
      </c>
      <c r="H981" s="32" t="s">
        <v>3703</v>
      </c>
      <c r="I981" s="25" t="s">
        <v>64</v>
      </c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 t="s">
        <v>3704</v>
      </c>
      <c r="Y981" s="25"/>
      <c r="Z981" s="25"/>
      <c r="AA981" s="40"/>
      <c r="AB981" s="40"/>
      <c r="AC981" s="25" t="str">
        <f>TRIM(StudentScore[[#This Row],[Student Email]])</f>
        <v>pannawit.kru@student.mahidol.ac.th</v>
      </c>
    </row>
    <row r="982" spans="1:29" ht="27">
      <c r="A982" s="62"/>
      <c r="B982" s="27">
        <f t="shared" si="52"/>
        <v>66</v>
      </c>
      <c r="C982" s="27">
        <f t="shared" si="53"/>
        <v>2026</v>
      </c>
      <c r="D982" s="39"/>
      <c r="E982" s="19">
        <v>6688053</v>
      </c>
      <c r="F982" s="20" t="s">
        <v>38</v>
      </c>
      <c r="G982" s="20" t="s">
        <v>3705</v>
      </c>
      <c r="H982" s="32" t="s">
        <v>3706</v>
      </c>
      <c r="I982" s="25" t="s">
        <v>64</v>
      </c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 t="s">
        <v>3707</v>
      </c>
      <c r="Y982" s="25"/>
      <c r="Z982" s="25"/>
      <c r="AA982" s="40"/>
      <c r="AB982" s="40"/>
      <c r="AC982" s="25" t="str">
        <f>TRIM(StudentScore[[#This Row],[Student Email]])</f>
        <v>kritchanat.kul@student.mahidol.ac.th</v>
      </c>
    </row>
    <row r="983" spans="1:29" ht="27">
      <c r="A983" s="62"/>
      <c r="B983" s="27">
        <f t="shared" si="52"/>
        <v>66</v>
      </c>
      <c r="C983" s="27">
        <f t="shared" si="53"/>
        <v>2026</v>
      </c>
      <c r="D983" s="39"/>
      <c r="E983" s="19">
        <v>6688055</v>
      </c>
      <c r="F983" s="20" t="s">
        <v>38</v>
      </c>
      <c r="G983" s="20" t="s">
        <v>3708</v>
      </c>
      <c r="H983" s="32" t="s">
        <v>3709</v>
      </c>
      <c r="I983" s="25" t="s">
        <v>64</v>
      </c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 t="s">
        <v>3710</v>
      </c>
      <c r="Y983" s="25"/>
      <c r="Z983" s="25"/>
      <c r="AA983" s="40"/>
      <c r="AB983" s="40"/>
      <c r="AC983" s="25" t="str">
        <f>TRIM(StudentScore[[#This Row],[Student Email]])</f>
        <v>takka.leh@student.mahidol.ac.th</v>
      </c>
    </row>
    <row r="984" spans="1:29" ht="27">
      <c r="A984" s="62"/>
      <c r="B984" s="27">
        <f t="shared" si="52"/>
        <v>66</v>
      </c>
      <c r="C984" s="27">
        <f t="shared" si="53"/>
        <v>2026</v>
      </c>
      <c r="D984" s="39"/>
      <c r="E984" s="19">
        <v>6688056</v>
      </c>
      <c r="F984" s="20" t="s">
        <v>38</v>
      </c>
      <c r="G984" s="20" t="s">
        <v>3711</v>
      </c>
      <c r="H984" s="32" t="s">
        <v>3712</v>
      </c>
      <c r="I984" s="25" t="s">
        <v>64</v>
      </c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 t="s">
        <v>3713</v>
      </c>
      <c r="Y984" s="25"/>
      <c r="Z984" s="25"/>
      <c r="AA984" s="40"/>
      <c r="AB984" s="40"/>
      <c r="AC984" s="25" t="str">
        <f>TRIM(StudentScore[[#This Row],[Student Email]])</f>
        <v>prempaveen.ler@student.mahidol.ac.th</v>
      </c>
    </row>
    <row r="985" spans="1:29" ht="27">
      <c r="A985" s="62"/>
      <c r="B985" s="27">
        <f t="shared" si="52"/>
        <v>66</v>
      </c>
      <c r="C985" s="27">
        <f t="shared" si="53"/>
        <v>2026</v>
      </c>
      <c r="D985" s="39"/>
      <c r="E985" s="19">
        <v>6688057</v>
      </c>
      <c r="F985" s="20" t="s">
        <v>38</v>
      </c>
      <c r="G985" s="20" t="s">
        <v>3714</v>
      </c>
      <c r="H985" s="32" t="s">
        <v>3715</v>
      </c>
      <c r="I985" s="25" t="s">
        <v>64</v>
      </c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 t="s">
        <v>3716</v>
      </c>
      <c r="Y985" s="25"/>
      <c r="Z985" s="25"/>
      <c r="AA985" s="40"/>
      <c r="AB985" s="40"/>
      <c r="AC985" s="25" t="str">
        <f>TRIM(StudentScore[[#This Row],[Student Email]])</f>
        <v>thanisorn.lra@student.mahidol.ac.th</v>
      </c>
    </row>
    <row r="986" spans="1:29" ht="27">
      <c r="A986" s="62"/>
      <c r="B986" s="27">
        <f t="shared" si="52"/>
        <v>66</v>
      </c>
      <c r="C986" s="27">
        <f t="shared" si="53"/>
        <v>2026</v>
      </c>
      <c r="D986" s="39"/>
      <c r="E986" s="19">
        <v>6688058</v>
      </c>
      <c r="F986" s="20" t="s">
        <v>38</v>
      </c>
      <c r="G986" s="20" t="s">
        <v>3717</v>
      </c>
      <c r="H986" s="32" t="s">
        <v>3718</v>
      </c>
      <c r="I986" s="25" t="s">
        <v>64</v>
      </c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 t="s">
        <v>3719</v>
      </c>
      <c r="Y986" s="25"/>
      <c r="Z986" s="25"/>
      <c r="AA986" s="40"/>
      <c r="AB986" s="40"/>
      <c r="AC986" s="25" t="str">
        <f>TRIM(StudentScore[[#This Row],[Student Email]])</f>
        <v>patcharapol.luk@student.mahidol.ac.th</v>
      </c>
    </row>
    <row r="987" spans="1:29" ht="27">
      <c r="A987" s="62"/>
      <c r="B987" s="27">
        <f t="shared" si="52"/>
        <v>66</v>
      </c>
      <c r="C987" s="27">
        <f t="shared" si="53"/>
        <v>2026</v>
      </c>
      <c r="D987" s="39"/>
      <c r="E987" s="19">
        <v>6688059</v>
      </c>
      <c r="F987" s="20" t="s">
        <v>38</v>
      </c>
      <c r="G987" s="20" t="s">
        <v>3720</v>
      </c>
      <c r="H987" s="32" t="s">
        <v>3721</v>
      </c>
      <c r="I987" s="25" t="s">
        <v>64</v>
      </c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 t="s">
        <v>3722</v>
      </c>
      <c r="Y987" s="25"/>
      <c r="Z987" s="25"/>
      <c r="AA987" s="40"/>
      <c r="AB987" s="40"/>
      <c r="AC987" s="25" t="str">
        <f>TRIM(StudentScore[[#This Row],[Student Email]])</f>
        <v>athip.mad@student.mahidol.ac.th</v>
      </c>
    </row>
    <row r="988" spans="1:29" ht="27">
      <c r="A988" s="62"/>
      <c r="B988" s="27">
        <f t="shared" si="52"/>
        <v>66</v>
      </c>
      <c r="C988" s="27">
        <f t="shared" si="53"/>
        <v>2026</v>
      </c>
      <c r="D988" s="39"/>
      <c r="E988" s="19">
        <v>6688060</v>
      </c>
      <c r="F988" s="20" t="s">
        <v>38</v>
      </c>
      <c r="G988" s="20" t="s">
        <v>3723</v>
      </c>
      <c r="H988" s="32" t="s">
        <v>3724</v>
      </c>
      <c r="I988" s="25" t="s">
        <v>64</v>
      </c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 t="s">
        <v>3725</v>
      </c>
      <c r="Y988" s="25"/>
      <c r="Z988" s="25"/>
      <c r="AA988" s="40"/>
      <c r="AB988" s="40"/>
      <c r="AC988" s="25" t="str">
        <f>TRIM(StudentScore[[#This Row],[Student Email]])</f>
        <v>supawet.mah@student.mahidol.ac.th</v>
      </c>
    </row>
    <row r="989" spans="1:29" ht="27">
      <c r="A989" s="62"/>
      <c r="B989" s="27">
        <f t="shared" si="52"/>
        <v>66</v>
      </c>
      <c r="C989" s="27">
        <f t="shared" si="53"/>
        <v>2026</v>
      </c>
      <c r="D989" s="39"/>
      <c r="E989" s="19">
        <v>6688061</v>
      </c>
      <c r="F989" s="20" t="s">
        <v>38</v>
      </c>
      <c r="G989" s="20" t="s">
        <v>3726</v>
      </c>
      <c r="H989" s="32" t="s">
        <v>3727</v>
      </c>
      <c r="I989" s="25" t="s">
        <v>64</v>
      </c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 t="s">
        <v>3728</v>
      </c>
      <c r="Y989" s="25"/>
      <c r="Z989" s="25"/>
      <c r="AA989" s="40"/>
      <c r="AB989" s="40"/>
      <c r="AC989" s="25" t="str">
        <f>TRIM(StudentScore[[#This Row],[Student Email]])</f>
        <v>phana.mah@student.mahidol.ac.th</v>
      </c>
    </row>
    <row r="990" spans="1:29" ht="27">
      <c r="A990" s="62"/>
      <c r="B990" s="27">
        <f t="shared" si="52"/>
        <v>66</v>
      </c>
      <c r="C990" s="27">
        <f t="shared" si="53"/>
        <v>2026</v>
      </c>
      <c r="D990" s="39"/>
      <c r="E990" s="19">
        <v>6688062</v>
      </c>
      <c r="F990" s="20" t="s">
        <v>38</v>
      </c>
      <c r="G990" s="20" t="s">
        <v>2847</v>
      </c>
      <c r="H990" s="32" t="s">
        <v>3729</v>
      </c>
      <c r="I990" s="25" t="s">
        <v>64</v>
      </c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 t="s">
        <v>3730</v>
      </c>
      <c r="Y990" s="25"/>
      <c r="Z990" s="25"/>
      <c r="AA990" s="40"/>
      <c r="AB990" s="40"/>
      <c r="AC990" s="25" t="str">
        <f>TRIM(StudentScore[[#This Row],[Student Email]])</f>
        <v>jarukit.man@student.mahidol.ac.th</v>
      </c>
    </row>
    <row r="991" spans="1:29" ht="27">
      <c r="A991" s="62"/>
      <c r="B991" s="27">
        <f t="shared" si="52"/>
        <v>66</v>
      </c>
      <c r="C991" s="27">
        <f t="shared" si="53"/>
        <v>2026</v>
      </c>
      <c r="D991" s="39"/>
      <c r="E991" s="19">
        <v>6688063</v>
      </c>
      <c r="F991" s="20" t="s">
        <v>38</v>
      </c>
      <c r="G991" s="20" t="s">
        <v>3731</v>
      </c>
      <c r="H991" s="32" t="s">
        <v>3732</v>
      </c>
      <c r="I991" s="25" t="s">
        <v>64</v>
      </c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 t="s">
        <v>3733</v>
      </c>
      <c r="Y991" s="25"/>
      <c r="Z991" s="25"/>
      <c r="AA991" s="40"/>
      <c r="AB991" s="40"/>
      <c r="AC991" s="25" t="str">
        <f>TRIM(StudentScore[[#This Row],[Student Email]])</f>
        <v>chawin.mar@student.mahidol.ac.th</v>
      </c>
    </row>
    <row r="992" spans="1:29" ht="27">
      <c r="A992" s="62"/>
      <c r="B992" s="27">
        <f t="shared" si="52"/>
        <v>66</v>
      </c>
      <c r="C992" s="27">
        <f t="shared" si="53"/>
        <v>2026</v>
      </c>
      <c r="D992" s="39"/>
      <c r="E992" s="19">
        <v>6688064</v>
      </c>
      <c r="F992" s="20" t="s">
        <v>117</v>
      </c>
      <c r="G992" s="20" t="s">
        <v>3734</v>
      </c>
      <c r="H992" s="32" t="s">
        <v>3735</v>
      </c>
      <c r="I992" s="25" t="s">
        <v>124</v>
      </c>
      <c r="J992" s="25">
        <v>6</v>
      </c>
      <c r="K992" s="25">
        <v>6</v>
      </c>
      <c r="L992" s="25">
        <v>5.5</v>
      </c>
      <c r="M992" s="25">
        <v>5.5</v>
      </c>
      <c r="N992" s="25">
        <v>6</v>
      </c>
      <c r="O992" s="25"/>
      <c r="P992" s="25"/>
      <c r="Q992" s="25"/>
      <c r="R992" s="25"/>
      <c r="S992" s="26">
        <v>44646</v>
      </c>
      <c r="T992" s="25"/>
      <c r="U992" s="25"/>
      <c r="V992" s="25"/>
      <c r="W992" s="25"/>
      <c r="X992" s="25" t="s">
        <v>3736</v>
      </c>
      <c r="Y992" s="42">
        <v>45118.393634259257</v>
      </c>
      <c r="Z992" s="25" t="s">
        <v>3737</v>
      </c>
      <c r="AA992" s="40"/>
      <c r="AB992" s="40"/>
      <c r="AC992" s="25" t="str">
        <f>TRIM(StudentScore[[#This Row],[Student Email]])</f>
        <v>natkrittar.maw@student.mahidol.ac.th</v>
      </c>
    </row>
    <row r="993" spans="1:29" ht="27">
      <c r="A993" s="62"/>
      <c r="B993" s="27">
        <f t="shared" si="52"/>
        <v>66</v>
      </c>
      <c r="C993" s="27">
        <f t="shared" si="53"/>
        <v>2026</v>
      </c>
      <c r="D993" s="39"/>
      <c r="E993" s="19">
        <v>6688065</v>
      </c>
      <c r="F993" s="20" t="s">
        <v>38</v>
      </c>
      <c r="G993" s="20" t="s">
        <v>3738</v>
      </c>
      <c r="H993" s="32" t="s">
        <v>3739</v>
      </c>
      <c r="I993" s="25" t="s">
        <v>64</v>
      </c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 t="s">
        <v>3740</v>
      </c>
      <c r="Y993" s="25"/>
      <c r="Z993" s="25"/>
      <c r="AA993" s="40"/>
      <c r="AB993" s="40"/>
      <c r="AC993" s="25" t="str">
        <f>TRIM(StudentScore[[#This Row],[Student Email]])</f>
        <v>nattachai.min@student.mahidol.ac.th</v>
      </c>
    </row>
    <row r="994" spans="1:29" ht="27">
      <c r="A994" s="62"/>
      <c r="B994" s="27">
        <f t="shared" si="52"/>
        <v>66</v>
      </c>
      <c r="C994" s="27">
        <f t="shared" si="53"/>
        <v>2026</v>
      </c>
      <c r="D994" s="39"/>
      <c r="E994" s="19">
        <v>6688067</v>
      </c>
      <c r="F994" s="20" t="s">
        <v>38</v>
      </c>
      <c r="G994" s="20" t="s">
        <v>3741</v>
      </c>
      <c r="H994" s="32" t="s">
        <v>3742</v>
      </c>
      <c r="I994" s="25" t="s">
        <v>64</v>
      </c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 t="s">
        <v>3743</v>
      </c>
      <c r="Y994" s="25"/>
      <c r="Z994" s="25"/>
      <c r="AA994" s="40"/>
      <c r="AB994" s="40"/>
      <c r="AC994" s="25" t="str">
        <f>TRIM(StudentScore[[#This Row],[Student Email]])</f>
        <v>siravich.nam@student.mahidol.ac.th</v>
      </c>
    </row>
    <row r="995" spans="1:29" ht="27">
      <c r="A995" s="62"/>
      <c r="B995" s="27">
        <f t="shared" si="52"/>
        <v>66</v>
      </c>
      <c r="C995" s="27">
        <f t="shared" si="53"/>
        <v>2026</v>
      </c>
      <c r="D995" s="39"/>
      <c r="E995" s="19">
        <v>6688068</v>
      </c>
      <c r="F995" s="20" t="s">
        <v>38</v>
      </c>
      <c r="G995" s="20" t="s">
        <v>3744</v>
      </c>
      <c r="H995" s="32" t="s">
        <v>3745</v>
      </c>
      <c r="I995" s="25" t="s">
        <v>64</v>
      </c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 t="s">
        <v>3746</v>
      </c>
      <c r="Y995" s="25"/>
      <c r="Z995" s="25"/>
      <c r="AA995" s="40"/>
      <c r="AB995" s="40"/>
      <c r="AC995" s="25" t="str">
        <f>TRIM(StudentScore[[#This Row],[Student Email]])</f>
        <v>ratchapon.net@student.mahidol.ac.th</v>
      </c>
    </row>
    <row r="996" spans="1:29" ht="27">
      <c r="A996" s="62"/>
      <c r="B996" s="27">
        <f t="shared" si="52"/>
        <v>66</v>
      </c>
      <c r="C996" s="27">
        <f t="shared" si="53"/>
        <v>2026</v>
      </c>
      <c r="D996" s="39"/>
      <c r="E996" s="19">
        <v>6688069</v>
      </c>
      <c r="F996" s="20" t="s">
        <v>117</v>
      </c>
      <c r="G996" s="20" t="s">
        <v>3747</v>
      </c>
      <c r="H996" s="32" t="s">
        <v>1825</v>
      </c>
      <c r="I996" s="25" t="s">
        <v>64</v>
      </c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 t="s">
        <v>3748</v>
      </c>
      <c r="Y996" s="25"/>
      <c r="Z996" s="25"/>
      <c r="AA996" s="40"/>
      <c r="AB996" s="40"/>
      <c r="AC996" s="25" t="str">
        <f>TRIM(StudentScore[[#This Row],[Student Email]])</f>
        <v>worasuda.nga@student.mahidol.ac.th</v>
      </c>
    </row>
    <row r="997" spans="1:29" ht="27">
      <c r="A997" s="62"/>
      <c r="B997" s="27">
        <f t="shared" si="52"/>
        <v>66</v>
      </c>
      <c r="C997" s="27">
        <f t="shared" si="53"/>
        <v>2026</v>
      </c>
      <c r="D997" s="39"/>
      <c r="E997" s="19">
        <v>6688070</v>
      </c>
      <c r="F997" s="20" t="s">
        <v>117</v>
      </c>
      <c r="G997" s="20" t="s">
        <v>3749</v>
      </c>
      <c r="H997" s="32" t="s">
        <v>3750</v>
      </c>
      <c r="I997" s="25" t="s">
        <v>64</v>
      </c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 t="s">
        <v>3751</v>
      </c>
      <c r="Y997" s="25"/>
      <c r="Z997" s="25"/>
      <c r="AA997" s="40"/>
      <c r="AB997" s="40"/>
      <c r="AC997" s="25" t="str">
        <f>TRIM(StudentScore[[#This Row],[Student Email]])</f>
        <v>nichakan.nin@student.mahidol.ac.th</v>
      </c>
    </row>
    <row r="998" spans="1:29" ht="27">
      <c r="A998" s="62"/>
      <c r="B998" s="27">
        <f t="shared" ref="B998:B1061" si="54">VALUE(LEFT(E998,2))</f>
        <v>66</v>
      </c>
      <c r="C998" s="27">
        <f t="shared" ref="C998:C1061" si="55">VALUE("25"&amp;B998)-543+3</f>
        <v>2026</v>
      </c>
      <c r="D998" s="39"/>
      <c r="E998" s="19">
        <v>6688071</v>
      </c>
      <c r="F998" s="20" t="s">
        <v>117</v>
      </c>
      <c r="G998" s="20" t="s">
        <v>3752</v>
      </c>
      <c r="H998" s="32" t="s">
        <v>3753</v>
      </c>
      <c r="I998" s="25" t="s">
        <v>64</v>
      </c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 t="s">
        <v>3754</v>
      </c>
      <c r="Y998" s="25"/>
      <c r="Z998" s="25"/>
      <c r="AA998" s="40"/>
      <c r="AB998" s="40"/>
      <c r="AC998" s="25" t="str">
        <f>TRIM(StudentScore[[#This Row],[Student Email]])</f>
        <v>ornrumpha.nir@student.mahidol.ac.th</v>
      </c>
    </row>
    <row r="999" spans="1:29" ht="27">
      <c r="A999" s="62"/>
      <c r="B999" s="27">
        <f t="shared" si="54"/>
        <v>66</v>
      </c>
      <c r="C999" s="27">
        <f t="shared" si="55"/>
        <v>2026</v>
      </c>
      <c r="D999" s="39"/>
      <c r="E999" s="19">
        <v>6688072</v>
      </c>
      <c r="F999" s="20" t="s">
        <v>117</v>
      </c>
      <c r="G999" s="20" t="s">
        <v>3755</v>
      </c>
      <c r="H999" s="32" t="s">
        <v>3756</v>
      </c>
      <c r="I999" s="25" t="s">
        <v>64</v>
      </c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 t="s">
        <v>3757</v>
      </c>
      <c r="Y999" s="25"/>
      <c r="Z999" s="25"/>
      <c r="AA999" s="40"/>
      <c r="AB999" s="40"/>
      <c r="AC999" s="25" t="str">
        <f>TRIM(StudentScore[[#This Row],[Student Email]])</f>
        <v>kemjira.nug@student.mahidol.ac.th</v>
      </c>
    </row>
    <row r="1000" spans="1:29" ht="27">
      <c r="A1000" s="62"/>
      <c r="B1000" s="27">
        <f t="shared" si="54"/>
        <v>66</v>
      </c>
      <c r="C1000" s="27">
        <f t="shared" si="55"/>
        <v>2026</v>
      </c>
      <c r="D1000" s="39"/>
      <c r="E1000" s="19">
        <v>6688073</v>
      </c>
      <c r="F1000" s="20" t="s">
        <v>38</v>
      </c>
      <c r="G1000" s="20" t="s">
        <v>3758</v>
      </c>
      <c r="H1000" s="32" t="s">
        <v>3759</v>
      </c>
      <c r="I1000" s="25" t="s">
        <v>64</v>
      </c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 t="s">
        <v>3760</v>
      </c>
      <c r="Y1000" s="25"/>
      <c r="Z1000" s="25"/>
      <c r="AA1000" s="40"/>
      <c r="AB1000" s="40"/>
      <c r="AC1000" s="25" t="str">
        <f>TRIM(StudentScore[[#This Row],[Student Email]])</f>
        <v>chayakorn.pan@student.mahidol.ac.th</v>
      </c>
    </row>
    <row r="1001" spans="1:29" ht="27">
      <c r="A1001" s="62"/>
      <c r="B1001" s="27">
        <f t="shared" si="54"/>
        <v>66</v>
      </c>
      <c r="C1001" s="27">
        <f t="shared" si="55"/>
        <v>2026</v>
      </c>
      <c r="D1001" s="39"/>
      <c r="E1001" s="19">
        <v>6688074</v>
      </c>
      <c r="F1001" s="20" t="s">
        <v>117</v>
      </c>
      <c r="G1001" s="20" t="s">
        <v>3761</v>
      </c>
      <c r="H1001" s="32" t="s">
        <v>3762</v>
      </c>
      <c r="I1001" s="25" t="s">
        <v>64</v>
      </c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 t="s">
        <v>3763</v>
      </c>
      <c r="Y1001" s="25"/>
      <c r="Z1001" s="25"/>
      <c r="AA1001" s="40"/>
      <c r="AB1001" s="40"/>
      <c r="AC1001" s="25" t="str">
        <f>TRIM(StudentScore[[#This Row],[Student Email]])</f>
        <v>prapassaporn.pap@student.mahidol.ac.th</v>
      </c>
    </row>
    <row r="1002" spans="1:29" ht="27">
      <c r="A1002" s="62"/>
      <c r="B1002" s="27">
        <f t="shared" si="54"/>
        <v>66</v>
      </c>
      <c r="C1002" s="27">
        <f t="shared" si="55"/>
        <v>2026</v>
      </c>
      <c r="D1002" s="39"/>
      <c r="E1002" s="19">
        <v>6688075</v>
      </c>
      <c r="F1002" s="20" t="s">
        <v>38</v>
      </c>
      <c r="G1002" s="20" t="s">
        <v>3764</v>
      </c>
      <c r="H1002" s="32" t="s">
        <v>3765</v>
      </c>
      <c r="I1002" s="25" t="s">
        <v>64</v>
      </c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 t="s">
        <v>3766</v>
      </c>
      <c r="Y1002" s="25"/>
      <c r="Z1002" s="25"/>
      <c r="AA1002" s="40"/>
      <c r="AB1002" s="40"/>
      <c r="AC1002" s="25" t="str">
        <f>TRIM(StudentScore[[#This Row],[Student Email]])</f>
        <v>siravit.pat@student.mahidol.ac.th</v>
      </c>
    </row>
    <row r="1003" spans="1:29" ht="27">
      <c r="A1003" s="62"/>
      <c r="B1003" s="27">
        <f t="shared" si="54"/>
        <v>66</v>
      </c>
      <c r="C1003" s="27">
        <f t="shared" si="55"/>
        <v>2026</v>
      </c>
      <c r="D1003" s="39"/>
      <c r="E1003" s="19">
        <v>6688076</v>
      </c>
      <c r="F1003" s="20" t="s">
        <v>117</v>
      </c>
      <c r="G1003" s="20" t="s">
        <v>3767</v>
      </c>
      <c r="H1003" s="32" t="s">
        <v>3768</v>
      </c>
      <c r="I1003" s="25" t="s">
        <v>64</v>
      </c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 t="s">
        <v>3769</v>
      </c>
      <c r="Y1003" s="25"/>
      <c r="Z1003" s="25"/>
      <c r="AA1003" s="40"/>
      <c r="AB1003" s="40"/>
      <c r="AC1003" s="25" t="str">
        <f>TRIM(StudentScore[[#This Row],[Student Email]])</f>
        <v>kunruethai.pat@student.mahidol.ac.th</v>
      </c>
    </row>
    <row r="1004" spans="1:29" ht="27">
      <c r="A1004" s="62"/>
      <c r="B1004" s="27">
        <f t="shared" si="54"/>
        <v>66</v>
      </c>
      <c r="C1004" s="27">
        <f t="shared" si="55"/>
        <v>2026</v>
      </c>
      <c r="D1004" s="39"/>
      <c r="E1004" s="19">
        <v>6688077</v>
      </c>
      <c r="F1004" s="20" t="s">
        <v>38</v>
      </c>
      <c r="G1004" s="20" t="s">
        <v>3770</v>
      </c>
      <c r="H1004" s="32" t="s">
        <v>3771</v>
      </c>
      <c r="I1004" s="25" t="s">
        <v>124</v>
      </c>
      <c r="J1004" s="25">
        <v>5.5</v>
      </c>
      <c r="K1004" s="25">
        <v>6</v>
      </c>
      <c r="L1004" s="25">
        <v>6</v>
      </c>
      <c r="M1004" s="25">
        <v>5</v>
      </c>
      <c r="N1004" s="25">
        <v>5</v>
      </c>
      <c r="O1004" s="25"/>
      <c r="P1004" s="25"/>
      <c r="Q1004" s="25"/>
      <c r="R1004" s="25"/>
      <c r="S1004" s="26">
        <v>44812</v>
      </c>
      <c r="T1004" s="25"/>
      <c r="U1004" s="25"/>
      <c r="V1004" s="25"/>
      <c r="W1004" s="25"/>
      <c r="X1004" s="25" t="s">
        <v>3772</v>
      </c>
      <c r="Y1004" s="42">
        <v>45119.437800925924</v>
      </c>
      <c r="Z1004" s="25" t="s">
        <v>3773</v>
      </c>
      <c r="AA1004" s="40"/>
      <c r="AB1004" s="40"/>
      <c r="AC1004" s="25" t="str">
        <f>TRIM(StudentScore[[#This Row],[Student Email]])</f>
        <v>bhumipat.pen@student.mahidol.ac.th</v>
      </c>
    </row>
    <row r="1005" spans="1:29" ht="27">
      <c r="A1005" s="62"/>
      <c r="B1005" s="27">
        <f t="shared" si="54"/>
        <v>66</v>
      </c>
      <c r="C1005" s="27">
        <f t="shared" si="55"/>
        <v>2026</v>
      </c>
      <c r="D1005" s="39"/>
      <c r="E1005" s="19">
        <v>6688078</v>
      </c>
      <c r="F1005" s="20" t="s">
        <v>38</v>
      </c>
      <c r="G1005" s="20" t="s">
        <v>2847</v>
      </c>
      <c r="H1005" s="32" t="s">
        <v>3774</v>
      </c>
      <c r="I1005" s="25" t="s">
        <v>64</v>
      </c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 t="s">
        <v>3775</v>
      </c>
      <c r="Y1005" s="25"/>
      <c r="Z1005" s="25"/>
      <c r="AA1005" s="40"/>
      <c r="AB1005" s="40"/>
      <c r="AC1005" s="25" t="str">
        <f>TRIM(StudentScore[[#This Row],[Student Email]])</f>
        <v>jarukit.pet@student.mahidol.ac.th</v>
      </c>
    </row>
    <row r="1006" spans="1:29" ht="27">
      <c r="A1006" s="62"/>
      <c r="B1006" s="27">
        <f t="shared" si="54"/>
        <v>66</v>
      </c>
      <c r="C1006" s="27">
        <f t="shared" si="55"/>
        <v>2026</v>
      </c>
      <c r="D1006" s="39"/>
      <c r="E1006" s="19">
        <v>6688079</v>
      </c>
      <c r="F1006" s="20" t="s">
        <v>38</v>
      </c>
      <c r="G1006" s="20" t="s">
        <v>3776</v>
      </c>
      <c r="H1006" s="32" t="s">
        <v>3777</v>
      </c>
      <c r="I1006" s="25" t="s">
        <v>64</v>
      </c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 t="s">
        <v>3778</v>
      </c>
      <c r="Y1006" s="25"/>
      <c r="Z1006" s="25"/>
      <c r="AA1006" s="40"/>
      <c r="AB1006" s="40"/>
      <c r="AC1006" s="25" t="str">
        <f>TRIM(StudentScore[[#This Row],[Student Email]])</f>
        <v>sirapongpat.pho@student.mahidol.ac.th</v>
      </c>
    </row>
    <row r="1007" spans="1:29" ht="27">
      <c r="A1007" s="62"/>
      <c r="B1007" s="27">
        <f t="shared" si="54"/>
        <v>66</v>
      </c>
      <c r="C1007" s="27">
        <f t="shared" si="55"/>
        <v>2026</v>
      </c>
      <c r="D1007" s="39"/>
      <c r="E1007" s="19">
        <v>6688080</v>
      </c>
      <c r="F1007" s="20" t="s">
        <v>38</v>
      </c>
      <c r="G1007" s="20" t="s">
        <v>3779</v>
      </c>
      <c r="H1007" s="32" t="s">
        <v>3780</v>
      </c>
      <c r="I1007" s="25" t="s">
        <v>64</v>
      </c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 t="s">
        <v>3781</v>
      </c>
      <c r="Y1007" s="25"/>
      <c r="Z1007" s="25"/>
      <c r="AA1007" s="40"/>
      <c r="AB1007" s="40"/>
      <c r="AC1007" s="25" t="str">
        <f>TRIM(StudentScore[[#This Row],[Student Email]])</f>
        <v>kaninnat.phu@student.mahidol.ac.th</v>
      </c>
    </row>
    <row r="1008" spans="1:29" ht="27">
      <c r="A1008" s="62"/>
      <c r="B1008" s="27">
        <f t="shared" si="54"/>
        <v>66</v>
      </c>
      <c r="C1008" s="27">
        <f t="shared" si="55"/>
        <v>2026</v>
      </c>
      <c r="D1008" s="39"/>
      <c r="E1008" s="19">
        <v>6688081</v>
      </c>
      <c r="F1008" s="20" t="s">
        <v>38</v>
      </c>
      <c r="G1008" s="20" t="s">
        <v>3782</v>
      </c>
      <c r="H1008" s="32" t="s">
        <v>3783</v>
      </c>
      <c r="I1008" s="25" t="s">
        <v>64</v>
      </c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 t="s">
        <v>3784</v>
      </c>
      <c r="Y1008" s="25"/>
      <c r="Z1008" s="25"/>
      <c r="AA1008" s="40"/>
      <c r="AB1008" s="40"/>
      <c r="AC1008" s="25" t="str">
        <f>TRIM(StudentScore[[#This Row],[Student Email]])</f>
        <v>nonpavit.pia@student.mahidol.ac.th</v>
      </c>
    </row>
    <row r="1009" spans="1:29" ht="27">
      <c r="A1009" s="62"/>
      <c r="B1009" s="27">
        <f t="shared" si="54"/>
        <v>66</v>
      </c>
      <c r="C1009" s="27">
        <f t="shared" si="55"/>
        <v>2026</v>
      </c>
      <c r="D1009" s="39"/>
      <c r="E1009" s="19">
        <v>6688082</v>
      </c>
      <c r="F1009" s="20" t="s">
        <v>117</v>
      </c>
      <c r="G1009" s="20" t="s">
        <v>3785</v>
      </c>
      <c r="H1009" s="32" t="s">
        <v>3786</v>
      </c>
      <c r="I1009" s="25" t="s">
        <v>64</v>
      </c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 t="s">
        <v>3787</v>
      </c>
      <c r="Y1009" s="25"/>
      <c r="Z1009" s="25"/>
      <c r="AA1009" s="40"/>
      <c r="AB1009" s="40"/>
      <c r="AC1009" s="25" t="str">
        <f>TRIM(StudentScore[[#This Row],[Student Email]])</f>
        <v>yuwa.pim@student.mahidol.ac.th</v>
      </c>
    </row>
    <row r="1010" spans="1:29" ht="27">
      <c r="A1010" s="62"/>
      <c r="B1010" s="27">
        <f t="shared" si="54"/>
        <v>66</v>
      </c>
      <c r="C1010" s="27">
        <f t="shared" si="55"/>
        <v>2026</v>
      </c>
      <c r="D1010" s="39"/>
      <c r="E1010" s="19">
        <v>6688083</v>
      </c>
      <c r="F1010" s="20" t="s">
        <v>38</v>
      </c>
      <c r="G1010" s="20" t="s">
        <v>3788</v>
      </c>
      <c r="H1010" s="32" t="s">
        <v>3789</v>
      </c>
      <c r="I1010" s="25" t="s">
        <v>64</v>
      </c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 t="s">
        <v>3790</v>
      </c>
      <c r="Y1010" s="25"/>
      <c r="Z1010" s="25"/>
      <c r="AA1010" s="40"/>
      <c r="AB1010" s="40"/>
      <c r="AC1010" s="25" t="str">
        <f>TRIM(StudentScore[[#This Row],[Student Email]])</f>
        <v>teeramanop.pin@student.mahidol.ac.th</v>
      </c>
    </row>
    <row r="1011" spans="1:29" ht="27">
      <c r="A1011" s="62"/>
      <c r="B1011" s="27">
        <f t="shared" si="54"/>
        <v>66</v>
      </c>
      <c r="C1011" s="27">
        <f t="shared" si="55"/>
        <v>2026</v>
      </c>
      <c r="D1011" s="39"/>
      <c r="E1011" s="19">
        <v>6688084</v>
      </c>
      <c r="F1011" s="20" t="s">
        <v>38</v>
      </c>
      <c r="G1011" s="20" t="s">
        <v>3791</v>
      </c>
      <c r="H1011" s="32" t="s">
        <v>3792</v>
      </c>
      <c r="I1011" s="25" t="s">
        <v>64</v>
      </c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 t="s">
        <v>3793</v>
      </c>
      <c r="Y1011" s="25"/>
      <c r="Z1011" s="25"/>
      <c r="AA1011" s="40"/>
      <c r="AB1011" s="40"/>
      <c r="AC1011" s="25" t="str">
        <f>TRIM(StudentScore[[#This Row],[Student Email]])</f>
        <v>posawee.pir@student.mahidol.ac.th</v>
      </c>
    </row>
    <row r="1012" spans="1:29" ht="27">
      <c r="A1012" s="62"/>
      <c r="B1012" s="27">
        <f t="shared" si="54"/>
        <v>66</v>
      </c>
      <c r="C1012" s="27">
        <f t="shared" si="55"/>
        <v>2026</v>
      </c>
      <c r="D1012" s="39"/>
      <c r="E1012" s="19">
        <v>6688085</v>
      </c>
      <c r="F1012" s="20" t="s">
        <v>38</v>
      </c>
      <c r="G1012" s="20" t="s">
        <v>3794</v>
      </c>
      <c r="H1012" s="32" t="s">
        <v>3795</v>
      </c>
      <c r="I1012" s="25" t="s">
        <v>64</v>
      </c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 t="s">
        <v>3796</v>
      </c>
      <c r="Y1012" s="25"/>
      <c r="Z1012" s="25"/>
      <c r="AA1012" s="40"/>
      <c r="AB1012" s="40"/>
      <c r="AC1012" s="25" t="str">
        <f>TRIM(StudentScore[[#This Row],[Student Email]])</f>
        <v>pittinon.piy@student.mahidol.ac.th</v>
      </c>
    </row>
    <row r="1013" spans="1:29" ht="27">
      <c r="A1013" s="62"/>
      <c r="B1013" s="27">
        <f t="shared" si="54"/>
        <v>66</v>
      </c>
      <c r="C1013" s="27">
        <f t="shared" si="55"/>
        <v>2026</v>
      </c>
      <c r="D1013" s="39"/>
      <c r="E1013" s="19">
        <v>6688086</v>
      </c>
      <c r="F1013" s="20" t="s">
        <v>117</v>
      </c>
      <c r="G1013" s="20" t="s">
        <v>3797</v>
      </c>
      <c r="H1013" s="32" t="s">
        <v>3798</v>
      </c>
      <c r="I1013" s="25" t="s">
        <v>64</v>
      </c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 t="s">
        <v>3799</v>
      </c>
      <c r="Y1013" s="25"/>
      <c r="Z1013" s="25"/>
      <c r="AA1013" s="40"/>
      <c r="AB1013" s="40"/>
      <c r="AC1013" s="25" t="str">
        <f>TRIM(StudentScore[[#This Row],[Student Email]])</f>
        <v>thanaphachason.poo@student.mahidol.ac.th</v>
      </c>
    </row>
    <row r="1014" spans="1:29" ht="27">
      <c r="A1014" s="62"/>
      <c r="B1014" s="27">
        <f t="shared" si="54"/>
        <v>66</v>
      </c>
      <c r="C1014" s="27">
        <f t="shared" si="55"/>
        <v>2026</v>
      </c>
      <c r="D1014" s="39"/>
      <c r="E1014" s="19">
        <v>6688087</v>
      </c>
      <c r="F1014" s="20" t="s">
        <v>38</v>
      </c>
      <c r="G1014" s="20" t="s">
        <v>744</v>
      </c>
      <c r="H1014" s="32" t="s">
        <v>3800</v>
      </c>
      <c r="I1014" s="25" t="s">
        <v>64</v>
      </c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 t="s">
        <v>3801</v>
      </c>
      <c r="Y1014" s="25"/>
      <c r="Z1014" s="25"/>
      <c r="AA1014" s="40"/>
      <c r="AB1014" s="40"/>
      <c r="AC1014" s="25" t="str">
        <f>TRIM(StudentScore[[#This Row],[Student Email]])</f>
        <v>thanakorn.prd@student.mahidol.ac.th</v>
      </c>
    </row>
    <row r="1015" spans="1:29" ht="27">
      <c r="A1015" s="62"/>
      <c r="B1015" s="27">
        <f t="shared" si="54"/>
        <v>66</v>
      </c>
      <c r="C1015" s="27">
        <f t="shared" si="55"/>
        <v>2026</v>
      </c>
      <c r="D1015" s="39"/>
      <c r="E1015" s="19">
        <v>6688088</v>
      </c>
      <c r="F1015" s="20" t="s">
        <v>38</v>
      </c>
      <c r="G1015" s="20" t="s">
        <v>3802</v>
      </c>
      <c r="H1015" s="32" t="s">
        <v>3803</v>
      </c>
      <c r="I1015" s="25" t="s">
        <v>64</v>
      </c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 t="s">
        <v>3804</v>
      </c>
      <c r="Y1015" s="25"/>
      <c r="Z1015" s="25"/>
      <c r="AA1015" s="40"/>
      <c r="AB1015" s="40"/>
      <c r="AC1015" s="25" t="str">
        <f>TRIM(StudentScore[[#This Row],[Student Email]])</f>
        <v>pathompong.pra@student.mahidol.ac.th</v>
      </c>
    </row>
    <row r="1016" spans="1:29" ht="27">
      <c r="A1016" s="62"/>
      <c r="B1016" s="27">
        <f t="shared" si="54"/>
        <v>66</v>
      </c>
      <c r="C1016" s="27">
        <f t="shared" si="55"/>
        <v>2026</v>
      </c>
      <c r="D1016" s="39"/>
      <c r="E1016" s="19">
        <v>6688089</v>
      </c>
      <c r="F1016" s="20" t="s">
        <v>38</v>
      </c>
      <c r="G1016" s="20" t="s">
        <v>3805</v>
      </c>
      <c r="H1016" s="32" t="s">
        <v>3806</v>
      </c>
      <c r="I1016" s="25" t="s">
        <v>64</v>
      </c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 t="s">
        <v>3807</v>
      </c>
      <c r="Y1016" s="25"/>
      <c r="Z1016" s="25"/>
      <c r="AA1016" s="40"/>
      <c r="AB1016" s="40"/>
      <c r="AC1016" s="25" t="str">
        <f>TRIM(StudentScore[[#This Row],[Student Email]])</f>
        <v>jittapat.pro@student.mahidol.ac.th</v>
      </c>
    </row>
    <row r="1017" spans="1:29" ht="27">
      <c r="A1017" s="62"/>
      <c r="B1017" s="27">
        <f t="shared" si="54"/>
        <v>66</v>
      </c>
      <c r="C1017" s="27">
        <f t="shared" si="55"/>
        <v>2026</v>
      </c>
      <c r="D1017" s="39"/>
      <c r="E1017" s="19">
        <v>6688090</v>
      </c>
      <c r="F1017" s="20" t="s">
        <v>38</v>
      </c>
      <c r="G1017" s="20" t="s">
        <v>3808</v>
      </c>
      <c r="H1017" s="32" t="s">
        <v>3809</v>
      </c>
      <c r="I1017" s="25" t="s">
        <v>64</v>
      </c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 t="s">
        <v>3810</v>
      </c>
      <c r="Y1017" s="25"/>
      <c r="Z1017" s="25"/>
      <c r="AA1017" s="40"/>
      <c r="AB1017" s="40"/>
      <c r="AC1017" s="25" t="str">
        <f>TRIM(StudentScore[[#This Row],[Student Email]])</f>
        <v>phisit.pua@student.mahidol.ac.th</v>
      </c>
    </row>
    <row r="1018" spans="1:29" ht="27">
      <c r="A1018" s="62"/>
      <c r="B1018" s="27">
        <f t="shared" si="54"/>
        <v>66</v>
      </c>
      <c r="C1018" s="27">
        <f t="shared" si="55"/>
        <v>2026</v>
      </c>
      <c r="D1018" s="39"/>
      <c r="E1018" s="19">
        <v>6688091</v>
      </c>
      <c r="F1018" s="20" t="s">
        <v>117</v>
      </c>
      <c r="G1018" s="20" t="s">
        <v>3811</v>
      </c>
      <c r="H1018" s="32" t="s">
        <v>3812</v>
      </c>
      <c r="I1018" s="25" t="s">
        <v>64</v>
      </c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 t="s">
        <v>3813</v>
      </c>
      <c r="Y1018" s="25"/>
      <c r="Z1018" s="25"/>
      <c r="AA1018" s="40"/>
      <c r="AB1018" s="40"/>
      <c r="AC1018" s="25" t="str">
        <f>TRIM(StudentScore[[#This Row],[Student Email]])</f>
        <v>pundharee.puk@student.mahidol.ac.th</v>
      </c>
    </row>
    <row r="1019" spans="1:29" ht="27">
      <c r="A1019" s="62"/>
      <c r="B1019" s="27">
        <f t="shared" si="54"/>
        <v>66</v>
      </c>
      <c r="C1019" s="27">
        <f t="shared" si="55"/>
        <v>2026</v>
      </c>
      <c r="D1019" s="39"/>
      <c r="E1019" s="19">
        <v>6688092</v>
      </c>
      <c r="F1019" s="20" t="s">
        <v>117</v>
      </c>
      <c r="G1019" s="20" t="s">
        <v>3814</v>
      </c>
      <c r="H1019" s="32" t="s">
        <v>3815</v>
      </c>
      <c r="I1019" s="25" t="s">
        <v>64</v>
      </c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 t="s">
        <v>3816</v>
      </c>
      <c r="Y1019" s="25"/>
      <c r="Z1019" s="25"/>
      <c r="AA1019" s="40"/>
      <c r="AB1019" s="40"/>
      <c r="AC1019" s="25" t="str">
        <f>TRIM(StudentScore[[#This Row],[Student Email]])</f>
        <v>warangon.put@student.mahidol.ac.th</v>
      </c>
    </row>
    <row r="1020" spans="1:29" ht="27">
      <c r="A1020" s="62"/>
      <c r="B1020" s="27">
        <f t="shared" si="54"/>
        <v>66</v>
      </c>
      <c r="C1020" s="27">
        <f t="shared" si="55"/>
        <v>2026</v>
      </c>
      <c r="D1020" s="39"/>
      <c r="E1020" s="19">
        <v>6688093</v>
      </c>
      <c r="F1020" s="20" t="s">
        <v>38</v>
      </c>
      <c r="G1020" s="20" t="s">
        <v>3817</v>
      </c>
      <c r="H1020" s="32" t="s">
        <v>3818</v>
      </c>
      <c r="I1020" s="25" t="s">
        <v>64</v>
      </c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 t="s">
        <v>3819</v>
      </c>
      <c r="Y1020" s="25"/>
      <c r="Z1020" s="25"/>
      <c r="AA1020" s="40"/>
      <c r="AB1020" s="40"/>
      <c r="AC1020" s="25" t="str">
        <f>TRIM(StudentScore[[#This Row],[Student Email]])</f>
        <v>ongsa.rak@student.mahidol.ac.th</v>
      </c>
    </row>
    <row r="1021" spans="1:29" ht="27">
      <c r="A1021" s="62"/>
      <c r="B1021" s="27">
        <f t="shared" si="54"/>
        <v>66</v>
      </c>
      <c r="C1021" s="27">
        <f t="shared" si="55"/>
        <v>2026</v>
      </c>
      <c r="D1021" s="39"/>
      <c r="E1021" s="19">
        <v>6688094</v>
      </c>
      <c r="F1021" s="20" t="s">
        <v>117</v>
      </c>
      <c r="G1021" s="20" t="s">
        <v>3820</v>
      </c>
      <c r="H1021" s="32" t="s">
        <v>3821</v>
      </c>
      <c r="I1021" s="25" t="s">
        <v>64</v>
      </c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 t="s">
        <v>3822</v>
      </c>
      <c r="Y1021" s="25"/>
      <c r="Z1021" s="25"/>
      <c r="AA1021" s="40"/>
      <c r="AB1021" s="40"/>
      <c r="AC1021" s="25" t="str">
        <f>TRIM(StudentScore[[#This Row],[Student Email]])</f>
        <v>nopwaree.ram@student.mahidol.ac.th</v>
      </c>
    </row>
    <row r="1022" spans="1:29" ht="27">
      <c r="A1022" s="62"/>
      <c r="B1022" s="27">
        <f t="shared" si="54"/>
        <v>66</v>
      </c>
      <c r="C1022" s="27">
        <f t="shared" si="55"/>
        <v>2026</v>
      </c>
      <c r="D1022" s="39"/>
      <c r="E1022" s="19">
        <v>6688095</v>
      </c>
      <c r="F1022" s="20" t="s">
        <v>38</v>
      </c>
      <c r="G1022" s="20" t="s">
        <v>3823</v>
      </c>
      <c r="H1022" s="32" t="s">
        <v>3824</v>
      </c>
      <c r="I1022" s="25" t="s">
        <v>64</v>
      </c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 t="s">
        <v>3825</v>
      </c>
      <c r="Y1022" s="25"/>
      <c r="Z1022" s="25"/>
      <c r="AA1022" s="40"/>
      <c r="AB1022" s="40"/>
      <c r="AC1022" s="25" t="str">
        <f>TRIM(StudentScore[[#This Row],[Student Email]])</f>
        <v>tinakome.ras@student.mahidol.ac.th</v>
      </c>
    </row>
    <row r="1023" spans="1:29" ht="27">
      <c r="A1023" s="62"/>
      <c r="B1023" s="27">
        <f t="shared" si="54"/>
        <v>66</v>
      </c>
      <c r="C1023" s="27">
        <f t="shared" si="55"/>
        <v>2026</v>
      </c>
      <c r="D1023" s="39"/>
      <c r="E1023" s="19">
        <v>6688096</v>
      </c>
      <c r="F1023" s="20" t="s">
        <v>38</v>
      </c>
      <c r="G1023" s="20" t="s">
        <v>3826</v>
      </c>
      <c r="H1023" s="32" t="s">
        <v>3827</v>
      </c>
      <c r="I1023" s="25" t="s">
        <v>64</v>
      </c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 t="s">
        <v>3828</v>
      </c>
      <c r="Y1023" s="25"/>
      <c r="Z1023" s="25"/>
      <c r="AA1023" s="40"/>
      <c r="AB1023" s="40"/>
      <c r="AC1023" s="25" t="str">
        <f>TRIM(StudentScore[[#This Row],[Student Email]])</f>
        <v>nontawat.rat@student.mahidol.ac.th</v>
      </c>
    </row>
    <row r="1024" spans="1:29" ht="27">
      <c r="A1024" s="62"/>
      <c r="B1024" s="27">
        <f t="shared" si="54"/>
        <v>66</v>
      </c>
      <c r="C1024" s="27">
        <f t="shared" si="55"/>
        <v>2026</v>
      </c>
      <c r="D1024" s="39"/>
      <c r="E1024" s="19">
        <v>6688097</v>
      </c>
      <c r="F1024" s="20" t="s">
        <v>38</v>
      </c>
      <c r="G1024" s="20" t="s">
        <v>3829</v>
      </c>
      <c r="H1024" s="32" t="s">
        <v>3830</v>
      </c>
      <c r="I1024" s="25" t="s">
        <v>214</v>
      </c>
      <c r="J1024" s="25">
        <v>95</v>
      </c>
      <c r="K1024" s="25"/>
      <c r="L1024" s="25"/>
      <c r="M1024" s="25"/>
      <c r="N1024" s="25"/>
      <c r="O1024" s="25">
        <v>95</v>
      </c>
      <c r="P1024" s="25">
        <v>85</v>
      </c>
      <c r="Q1024" s="25">
        <v>110</v>
      </c>
      <c r="R1024" s="25">
        <v>70</v>
      </c>
      <c r="S1024" s="26">
        <v>44849</v>
      </c>
      <c r="T1024" s="25"/>
      <c r="U1024" s="25"/>
      <c r="V1024" s="25"/>
      <c r="W1024" s="25"/>
      <c r="X1024" s="25" t="s">
        <v>3831</v>
      </c>
      <c r="Y1024" s="42">
        <v>45119.437847222223</v>
      </c>
      <c r="Z1024" s="25" t="s">
        <v>3832</v>
      </c>
      <c r="AA1024" s="40"/>
      <c r="AB1024" s="40"/>
      <c r="AC1024" s="25" t="str">
        <f>TRIM(StudentScore[[#This Row],[Student Email]])</f>
        <v>suppavich.rat@student.mahidol.ac.th</v>
      </c>
    </row>
    <row r="1025" spans="1:29" ht="27">
      <c r="A1025" s="62"/>
      <c r="B1025" s="27">
        <f t="shared" si="54"/>
        <v>66</v>
      </c>
      <c r="C1025" s="27">
        <f t="shared" si="55"/>
        <v>2026</v>
      </c>
      <c r="D1025" s="39"/>
      <c r="E1025" s="19">
        <v>6688098</v>
      </c>
      <c r="F1025" s="20" t="s">
        <v>38</v>
      </c>
      <c r="G1025" s="20" t="s">
        <v>3833</v>
      </c>
      <c r="H1025" s="32" t="s">
        <v>3834</v>
      </c>
      <c r="I1025" s="25" t="s">
        <v>64</v>
      </c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 t="s">
        <v>3835</v>
      </c>
      <c r="Y1025" s="25"/>
      <c r="Z1025" s="25"/>
      <c r="AA1025" s="40"/>
      <c r="AB1025" s="40"/>
      <c r="AC1025" s="25" t="str">
        <f>TRIM(StudentScore[[#This Row],[Student Email]])</f>
        <v>thanakit.rat@student.mahidol.ac.th</v>
      </c>
    </row>
    <row r="1026" spans="1:29" ht="27">
      <c r="A1026" s="62"/>
      <c r="B1026" s="27">
        <f t="shared" si="54"/>
        <v>66</v>
      </c>
      <c r="C1026" s="27">
        <f t="shared" si="55"/>
        <v>2026</v>
      </c>
      <c r="D1026" s="39"/>
      <c r="E1026" s="19">
        <v>6688099</v>
      </c>
      <c r="F1026" s="20" t="s">
        <v>117</v>
      </c>
      <c r="G1026" s="20" t="s">
        <v>3836</v>
      </c>
      <c r="H1026" s="32" t="s">
        <v>3837</v>
      </c>
      <c r="I1026" s="25" t="s">
        <v>64</v>
      </c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 t="s">
        <v>3838</v>
      </c>
      <c r="Y1026" s="25"/>
      <c r="Z1026" s="25"/>
      <c r="AA1026" s="40"/>
      <c r="AB1026" s="40"/>
      <c r="AC1026" s="25" t="str">
        <f>TRIM(StudentScore[[#This Row],[Student Email]])</f>
        <v>nuttanan.rea@student.mahidol.ac.th</v>
      </c>
    </row>
    <row r="1027" spans="1:29" ht="27">
      <c r="A1027" s="62"/>
      <c r="B1027" s="27">
        <f t="shared" si="54"/>
        <v>66</v>
      </c>
      <c r="C1027" s="27">
        <f t="shared" si="55"/>
        <v>2026</v>
      </c>
      <c r="D1027" s="39"/>
      <c r="E1027" s="19">
        <v>6688100</v>
      </c>
      <c r="F1027" s="20" t="s">
        <v>38</v>
      </c>
      <c r="G1027" s="20" t="s">
        <v>3839</v>
      </c>
      <c r="H1027" s="32" t="s">
        <v>3840</v>
      </c>
      <c r="I1027" s="25" t="s">
        <v>64</v>
      </c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 t="s">
        <v>3841</v>
      </c>
      <c r="Y1027" s="25"/>
      <c r="Z1027" s="25"/>
      <c r="AA1027" s="40"/>
      <c r="AB1027" s="40"/>
      <c r="AC1027" s="25" t="str">
        <f>TRIM(StudentScore[[#This Row],[Student Email]])</f>
        <v>chanachon.rim@student.mahidol.ac.th</v>
      </c>
    </row>
    <row r="1028" spans="1:29" ht="27">
      <c r="A1028" s="62"/>
      <c r="B1028" s="27">
        <f t="shared" si="54"/>
        <v>66</v>
      </c>
      <c r="C1028" s="27">
        <f t="shared" si="55"/>
        <v>2026</v>
      </c>
      <c r="D1028" s="39"/>
      <c r="E1028" s="19">
        <v>6688101</v>
      </c>
      <c r="F1028" s="20" t="s">
        <v>38</v>
      </c>
      <c r="G1028" s="20" t="s">
        <v>3842</v>
      </c>
      <c r="H1028" s="32" t="s">
        <v>3843</v>
      </c>
      <c r="I1028" s="25" t="s">
        <v>64</v>
      </c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 t="s">
        <v>3844</v>
      </c>
      <c r="Y1028" s="25"/>
      <c r="Z1028" s="25"/>
      <c r="AA1028" s="40"/>
      <c r="AB1028" s="40"/>
      <c r="AC1028" s="25" t="str">
        <f>TRIM(StudentScore[[#This Row],[Student Email]])</f>
        <v>chavis.rit@student.mahidol.ac.th</v>
      </c>
    </row>
    <row r="1029" spans="1:29" ht="27">
      <c r="A1029" s="62"/>
      <c r="B1029" s="27">
        <f t="shared" si="54"/>
        <v>66</v>
      </c>
      <c r="C1029" s="27">
        <f t="shared" si="55"/>
        <v>2026</v>
      </c>
      <c r="D1029" s="39"/>
      <c r="E1029" s="19">
        <v>6688102</v>
      </c>
      <c r="F1029" s="20" t="s">
        <v>38</v>
      </c>
      <c r="G1029" s="20" t="s">
        <v>3845</v>
      </c>
      <c r="H1029" s="32" t="s">
        <v>3846</v>
      </c>
      <c r="I1029" s="25" t="s">
        <v>64</v>
      </c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 t="s">
        <v>3847</v>
      </c>
      <c r="Y1029" s="25"/>
      <c r="Z1029" s="25"/>
      <c r="AA1029" s="40"/>
      <c r="AB1029" s="40"/>
      <c r="AC1029" s="25" t="str">
        <f>TRIM(StudentScore[[#This Row],[Student Email]])</f>
        <v>porramin.sae@student.mahidol.ac.th</v>
      </c>
    </row>
    <row r="1030" spans="1:29" ht="27">
      <c r="A1030" s="62"/>
      <c r="B1030" s="27">
        <f t="shared" si="54"/>
        <v>66</v>
      </c>
      <c r="C1030" s="27">
        <f t="shared" si="55"/>
        <v>2026</v>
      </c>
      <c r="D1030" s="39"/>
      <c r="E1030" s="19">
        <v>6688103</v>
      </c>
      <c r="F1030" s="20" t="s">
        <v>38</v>
      </c>
      <c r="G1030" s="20" t="s">
        <v>3848</v>
      </c>
      <c r="H1030" s="32" t="s">
        <v>3849</v>
      </c>
      <c r="I1030" s="25" t="s">
        <v>64</v>
      </c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 t="s">
        <v>3850</v>
      </c>
      <c r="Y1030" s="25"/>
      <c r="Z1030" s="25"/>
      <c r="AA1030" s="40"/>
      <c r="AB1030" s="40"/>
      <c r="AC1030" s="25" t="str">
        <f>TRIM(StudentScore[[#This Row],[Student Email]])</f>
        <v>chalomchai.sak@student.mahidol.ac.th</v>
      </c>
    </row>
    <row r="1031" spans="1:29" ht="27">
      <c r="A1031" s="62"/>
      <c r="B1031" s="27">
        <f t="shared" si="54"/>
        <v>66</v>
      </c>
      <c r="C1031" s="27">
        <f t="shared" si="55"/>
        <v>2026</v>
      </c>
      <c r="D1031" s="39"/>
      <c r="E1031" s="19">
        <v>6688104</v>
      </c>
      <c r="F1031" s="20" t="s">
        <v>38</v>
      </c>
      <c r="G1031" s="20" t="s">
        <v>3851</v>
      </c>
      <c r="H1031" s="32" t="s">
        <v>3852</v>
      </c>
      <c r="I1031" s="25" t="s">
        <v>64</v>
      </c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 t="s">
        <v>3853</v>
      </c>
      <c r="Y1031" s="25"/>
      <c r="Z1031" s="25"/>
      <c r="AA1031" s="40"/>
      <c r="AB1031" s="40"/>
      <c r="AC1031" s="25" t="str">
        <f>TRIM(StudentScore[[#This Row],[Student Email]])</f>
        <v>phubase.san@student.mahidol.ac.th</v>
      </c>
    </row>
    <row r="1032" spans="1:29" ht="27">
      <c r="A1032" s="62"/>
      <c r="B1032" s="27">
        <f t="shared" si="54"/>
        <v>66</v>
      </c>
      <c r="C1032" s="27">
        <f t="shared" si="55"/>
        <v>2026</v>
      </c>
      <c r="D1032" s="39"/>
      <c r="E1032" s="19">
        <v>6688105</v>
      </c>
      <c r="F1032" s="20" t="s">
        <v>38</v>
      </c>
      <c r="G1032" s="20" t="s">
        <v>2333</v>
      </c>
      <c r="H1032" s="32" t="s">
        <v>3854</v>
      </c>
      <c r="I1032" s="25" t="s">
        <v>64</v>
      </c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 t="s">
        <v>3855</v>
      </c>
      <c r="Y1032" s="25"/>
      <c r="Z1032" s="25"/>
      <c r="AA1032" s="40"/>
      <c r="AB1032" s="40"/>
      <c r="AC1032" s="25" t="str">
        <f>TRIM(StudentScore[[#This Row],[Student Email]])</f>
        <v>krittin.sat@student.mahidol.ac.th</v>
      </c>
    </row>
    <row r="1033" spans="1:29" ht="27">
      <c r="A1033" s="62"/>
      <c r="B1033" s="27">
        <f t="shared" si="54"/>
        <v>66</v>
      </c>
      <c r="C1033" s="27">
        <f t="shared" si="55"/>
        <v>2026</v>
      </c>
      <c r="D1033" s="39"/>
      <c r="E1033" s="19">
        <v>6688106</v>
      </c>
      <c r="F1033" s="20" t="s">
        <v>117</v>
      </c>
      <c r="G1033" s="20" t="s">
        <v>3856</v>
      </c>
      <c r="H1033" s="32" t="s">
        <v>3857</v>
      </c>
      <c r="I1033" s="25" t="s">
        <v>64</v>
      </c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 t="s">
        <v>3858</v>
      </c>
      <c r="Y1033" s="25"/>
      <c r="Z1033" s="25"/>
      <c r="AA1033" s="40"/>
      <c r="AB1033" s="40"/>
      <c r="AC1033" s="25" t="str">
        <f>TRIM(StudentScore[[#This Row],[Student Email]])</f>
        <v>warinthorn.sav@student.mahidol.ac.th</v>
      </c>
    </row>
    <row r="1034" spans="1:29" ht="27">
      <c r="A1034" s="62"/>
      <c r="B1034" s="27">
        <f t="shared" si="54"/>
        <v>66</v>
      </c>
      <c r="C1034" s="27">
        <f t="shared" si="55"/>
        <v>2026</v>
      </c>
      <c r="D1034" s="39"/>
      <c r="E1034" s="19">
        <v>6688107</v>
      </c>
      <c r="F1034" s="20" t="s">
        <v>117</v>
      </c>
      <c r="G1034" s="20" t="s">
        <v>3859</v>
      </c>
      <c r="H1034" s="32" t="s">
        <v>3860</v>
      </c>
      <c r="I1034" s="25" t="s">
        <v>64</v>
      </c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 t="s">
        <v>3861</v>
      </c>
      <c r="Y1034" s="25"/>
      <c r="Z1034" s="25"/>
      <c r="AA1034" s="40"/>
      <c r="AB1034" s="40"/>
      <c r="AC1034" s="25" t="str">
        <f>TRIM(StudentScore[[#This Row],[Student Email]])</f>
        <v>arisa.sin@student.mahidol.ac.th</v>
      </c>
    </row>
    <row r="1035" spans="1:29" ht="27">
      <c r="A1035" s="62"/>
      <c r="B1035" s="27">
        <f t="shared" si="54"/>
        <v>66</v>
      </c>
      <c r="C1035" s="27">
        <f t="shared" si="55"/>
        <v>2026</v>
      </c>
      <c r="D1035" s="39"/>
      <c r="E1035" s="19">
        <v>6688108</v>
      </c>
      <c r="F1035" s="20" t="s">
        <v>38</v>
      </c>
      <c r="G1035" s="20" t="s">
        <v>3862</v>
      </c>
      <c r="H1035" s="32" t="s">
        <v>3863</v>
      </c>
      <c r="I1035" s="25" t="s">
        <v>64</v>
      </c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 t="s">
        <v>3864</v>
      </c>
      <c r="Y1035" s="25"/>
      <c r="Z1035" s="25"/>
      <c r="AA1035" s="40"/>
      <c r="AB1035" s="40"/>
      <c r="AC1035" s="25" t="str">
        <f>TRIM(StudentScore[[#This Row],[Student Email]])</f>
        <v>napas.sii@student.mahidol.ac.th</v>
      </c>
    </row>
    <row r="1036" spans="1:29" ht="27">
      <c r="A1036" s="62"/>
      <c r="B1036" s="27">
        <f t="shared" si="54"/>
        <v>66</v>
      </c>
      <c r="C1036" s="27">
        <f t="shared" si="55"/>
        <v>2026</v>
      </c>
      <c r="D1036" s="39"/>
      <c r="E1036" s="19">
        <v>6688110</v>
      </c>
      <c r="F1036" s="20" t="s">
        <v>117</v>
      </c>
      <c r="G1036" s="20" t="s">
        <v>1945</v>
      </c>
      <c r="H1036" s="32" t="s">
        <v>3865</v>
      </c>
      <c r="I1036" s="25" t="s">
        <v>64</v>
      </c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 t="s">
        <v>3866</v>
      </c>
      <c r="Y1036" s="25"/>
      <c r="Z1036" s="25"/>
      <c r="AA1036" s="40"/>
      <c r="AB1036" s="40"/>
      <c r="AC1036" s="25" t="str">
        <f>TRIM(StudentScore[[#This Row],[Student Email]])</f>
        <v>kornkanok.soo@student.mahidol.ac.th</v>
      </c>
    </row>
    <row r="1037" spans="1:29" ht="27">
      <c r="A1037" s="62"/>
      <c r="B1037" s="27">
        <f t="shared" si="54"/>
        <v>66</v>
      </c>
      <c r="C1037" s="27">
        <f t="shared" si="55"/>
        <v>2026</v>
      </c>
      <c r="D1037" s="39"/>
      <c r="E1037" s="19">
        <v>6688111</v>
      </c>
      <c r="F1037" s="20" t="s">
        <v>38</v>
      </c>
      <c r="G1037" s="20" t="s">
        <v>3867</v>
      </c>
      <c r="H1037" s="32" t="s">
        <v>3868</v>
      </c>
      <c r="I1037" s="25" t="s">
        <v>64</v>
      </c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 t="s">
        <v>3869</v>
      </c>
      <c r="Y1037" s="25"/>
      <c r="Z1037" s="25"/>
      <c r="AA1037" s="40"/>
      <c r="AB1037" s="40"/>
      <c r="AC1037" s="25" t="str">
        <f>TRIM(StudentScore[[#This Row],[Student Email]])</f>
        <v>tanakit.soo@student.mahidol.ac.th</v>
      </c>
    </row>
    <row r="1038" spans="1:29" ht="27">
      <c r="A1038" s="62"/>
      <c r="B1038" s="27">
        <f t="shared" si="54"/>
        <v>66</v>
      </c>
      <c r="C1038" s="27">
        <f t="shared" si="55"/>
        <v>2026</v>
      </c>
      <c r="D1038" s="39"/>
      <c r="E1038" s="19">
        <v>6688112</v>
      </c>
      <c r="F1038" s="20" t="s">
        <v>117</v>
      </c>
      <c r="G1038" s="20" t="s">
        <v>3870</v>
      </c>
      <c r="H1038" s="32" t="s">
        <v>3871</v>
      </c>
      <c r="I1038" s="25" t="s">
        <v>64</v>
      </c>
      <c r="J1038" s="25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 t="s">
        <v>3872</v>
      </c>
      <c r="Y1038" s="25"/>
      <c r="Z1038" s="25"/>
      <c r="AA1038" s="40"/>
      <c r="AB1038" s="40"/>
      <c r="AC1038" s="25" t="str">
        <f>TRIM(StudentScore[[#This Row],[Student Email]])</f>
        <v>thanyaret.srp@student.mahidol.ac.th</v>
      </c>
    </row>
    <row r="1039" spans="1:29" ht="27">
      <c r="A1039" s="62"/>
      <c r="B1039" s="27">
        <f t="shared" si="54"/>
        <v>66</v>
      </c>
      <c r="C1039" s="27">
        <f t="shared" si="55"/>
        <v>2026</v>
      </c>
      <c r="D1039" s="39"/>
      <c r="E1039" s="19">
        <v>6688113</v>
      </c>
      <c r="F1039" s="20" t="s">
        <v>117</v>
      </c>
      <c r="G1039" s="20" t="s">
        <v>3873</v>
      </c>
      <c r="H1039" s="32" t="s">
        <v>3874</v>
      </c>
      <c r="I1039" s="25" t="s">
        <v>64</v>
      </c>
      <c r="J1039" s="25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 t="s">
        <v>3875</v>
      </c>
      <c r="Y1039" s="25"/>
      <c r="Z1039" s="25"/>
      <c r="AA1039" s="40"/>
      <c r="AB1039" s="40"/>
      <c r="AC1039" s="25" t="str">
        <f>TRIM(StudentScore[[#This Row],[Student Email]])</f>
        <v>dungwang.sri@student.mahidol.ac.th</v>
      </c>
    </row>
    <row r="1040" spans="1:29" ht="27">
      <c r="A1040" s="62"/>
      <c r="B1040" s="27">
        <f t="shared" si="54"/>
        <v>66</v>
      </c>
      <c r="C1040" s="27">
        <f t="shared" si="55"/>
        <v>2026</v>
      </c>
      <c r="D1040" s="39"/>
      <c r="E1040" s="19">
        <v>6688114</v>
      </c>
      <c r="F1040" s="20" t="s">
        <v>117</v>
      </c>
      <c r="G1040" s="20" t="s">
        <v>3876</v>
      </c>
      <c r="H1040" s="32" t="s">
        <v>3877</v>
      </c>
      <c r="I1040" s="25" t="s">
        <v>64</v>
      </c>
      <c r="J1040" s="25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 t="s">
        <v>3878</v>
      </c>
      <c r="Y1040" s="25"/>
      <c r="Z1040" s="25"/>
      <c r="AA1040" s="40"/>
      <c r="AB1040" s="40"/>
      <c r="AC1040" s="25" t="str">
        <f>TRIM(StudentScore[[#This Row],[Student Email]])</f>
        <v>pornpawee.srt@student.mahidol.ac.th</v>
      </c>
    </row>
    <row r="1041" spans="1:29" ht="27">
      <c r="A1041" s="62"/>
      <c r="B1041" s="27">
        <f t="shared" si="54"/>
        <v>66</v>
      </c>
      <c r="C1041" s="27">
        <f t="shared" si="55"/>
        <v>2026</v>
      </c>
      <c r="D1041" s="39"/>
      <c r="E1041" s="19">
        <v>6688115</v>
      </c>
      <c r="F1041" s="20" t="s">
        <v>38</v>
      </c>
      <c r="G1041" s="20" t="s">
        <v>3879</v>
      </c>
      <c r="H1041" s="32" t="s">
        <v>3880</v>
      </c>
      <c r="I1041" s="25" t="s">
        <v>64</v>
      </c>
      <c r="J1041" s="25"/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 t="s">
        <v>3881</v>
      </c>
      <c r="Y1041" s="25"/>
      <c r="Z1041" s="25"/>
      <c r="AA1041" s="40"/>
      <c r="AB1041" s="40"/>
      <c r="AC1041" s="25" t="str">
        <f>TRIM(StudentScore[[#This Row],[Student Email]])</f>
        <v>ponlapat.sub@student.mahidol.ac.th</v>
      </c>
    </row>
    <row r="1042" spans="1:29" ht="27">
      <c r="A1042" s="62"/>
      <c r="B1042" s="27">
        <f t="shared" si="54"/>
        <v>66</v>
      </c>
      <c r="C1042" s="27">
        <f t="shared" si="55"/>
        <v>2026</v>
      </c>
      <c r="D1042" s="39"/>
      <c r="E1042" s="19">
        <v>6688116</v>
      </c>
      <c r="F1042" s="20" t="s">
        <v>117</v>
      </c>
      <c r="G1042" s="20" t="s">
        <v>3882</v>
      </c>
      <c r="H1042" s="32" t="s">
        <v>3883</v>
      </c>
      <c r="I1042" s="25" t="s">
        <v>64</v>
      </c>
      <c r="J1042" s="25"/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 t="s">
        <v>3884</v>
      </c>
      <c r="Y1042" s="25"/>
      <c r="Z1042" s="25"/>
      <c r="AA1042" s="40"/>
      <c r="AB1042" s="40"/>
      <c r="AC1042" s="25" t="str">
        <f>TRIM(StudentScore[[#This Row],[Student Email]])</f>
        <v>thanunya.suk@student.mahidol.ac.th</v>
      </c>
    </row>
    <row r="1043" spans="1:29" ht="27">
      <c r="A1043" s="62"/>
      <c r="B1043" s="27">
        <f t="shared" si="54"/>
        <v>66</v>
      </c>
      <c r="C1043" s="27">
        <f t="shared" si="55"/>
        <v>2026</v>
      </c>
      <c r="D1043" s="39"/>
      <c r="E1043" s="19">
        <v>6688117</v>
      </c>
      <c r="F1043" s="20" t="s">
        <v>117</v>
      </c>
      <c r="G1043" s="20" t="s">
        <v>3885</v>
      </c>
      <c r="H1043" s="32" t="s">
        <v>3886</v>
      </c>
      <c r="I1043" s="25" t="s">
        <v>64</v>
      </c>
      <c r="J1043" s="25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 t="s">
        <v>3887</v>
      </c>
      <c r="Y1043" s="25"/>
      <c r="Z1043" s="25"/>
      <c r="AA1043" s="40"/>
      <c r="AB1043" s="40"/>
      <c r="AC1043" s="25" t="str">
        <f>TRIM(StudentScore[[#This Row],[Student Email]])</f>
        <v>tanyarat.suk@student.mahidol.ac.th</v>
      </c>
    </row>
    <row r="1044" spans="1:29" ht="27">
      <c r="A1044" s="62"/>
      <c r="B1044" s="27">
        <f t="shared" si="54"/>
        <v>66</v>
      </c>
      <c r="C1044" s="27">
        <f t="shared" si="55"/>
        <v>2026</v>
      </c>
      <c r="D1044" s="39"/>
      <c r="E1044" s="19">
        <v>6688118</v>
      </c>
      <c r="F1044" s="20" t="s">
        <v>38</v>
      </c>
      <c r="G1044" s="20" t="s">
        <v>3888</v>
      </c>
      <c r="H1044" s="32" t="s">
        <v>3889</v>
      </c>
      <c r="I1044" s="25" t="s">
        <v>64</v>
      </c>
      <c r="J1044" s="25"/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 t="s">
        <v>3890</v>
      </c>
      <c r="Y1044" s="25"/>
      <c r="Z1044" s="25"/>
      <c r="AA1044" s="40"/>
      <c r="AB1044" s="40"/>
      <c r="AC1044" s="25" t="str">
        <f>TRIM(StudentScore[[#This Row],[Student Email]])</f>
        <v>parun.sum@student.mahidol.ac.th</v>
      </c>
    </row>
    <row r="1045" spans="1:29" ht="27">
      <c r="A1045" s="62"/>
      <c r="B1045" s="27">
        <f t="shared" si="54"/>
        <v>66</v>
      </c>
      <c r="C1045" s="27">
        <f t="shared" si="55"/>
        <v>2026</v>
      </c>
      <c r="D1045" s="39"/>
      <c r="E1045" s="19">
        <v>6688119</v>
      </c>
      <c r="F1045" s="20" t="s">
        <v>38</v>
      </c>
      <c r="G1045" s="20" t="s">
        <v>3891</v>
      </c>
      <c r="H1045" s="32" t="s">
        <v>3892</v>
      </c>
      <c r="I1045" s="25" t="s">
        <v>64</v>
      </c>
      <c r="J1045" s="25"/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 t="s">
        <v>3893</v>
      </c>
      <c r="Y1045" s="25"/>
      <c r="Z1045" s="25"/>
      <c r="AA1045" s="40"/>
      <c r="AB1045" s="40"/>
      <c r="AC1045" s="25" t="str">
        <f>TRIM(StudentScore[[#This Row],[Student Email]])</f>
        <v>kanok.sur@student.mahidol.ac.th</v>
      </c>
    </row>
    <row r="1046" spans="1:29" ht="27">
      <c r="A1046" s="62"/>
      <c r="B1046" s="27">
        <f t="shared" si="54"/>
        <v>66</v>
      </c>
      <c r="C1046" s="27">
        <f t="shared" si="55"/>
        <v>2026</v>
      </c>
      <c r="D1046" s="39"/>
      <c r="E1046" s="19">
        <v>6688120</v>
      </c>
      <c r="F1046" s="20" t="s">
        <v>117</v>
      </c>
      <c r="G1046" s="20" t="s">
        <v>1195</v>
      </c>
      <c r="H1046" s="32" t="s">
        <v>3894</v>
      </c>
      <c r="I1046" s="25" t="s">
        <v>64</v>
      </c>
      <c r="J1046" s="25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 t="s">
        <v>3895</v>
      </c>
      <c r="Y1046" s="25"/>
      <c r="Z1046" s="25"/>
      <c r="AA1046" s="40"/>
      <c r="AB1046" s="40"/>
      <c r="AC1046" s="25" t="str">
        <f>TRIM(StudentScore[[#This Row],[Student Email]])</f>
        <v>pannatorn.suy@student.mahidol.ac.th</v>
      </c>
    </row>
    <row r="1047" spans="1:29" ht="27">
      <c r="A1047" s="62"/>
      <c r="B1047" s="27">
        <f t="shared" si="54"/>
        <v>66</v>
      </c>
      <c r="C1047" s="27">
        <f t="shared" si="55"/>
        <v>2026</v>
      </c>
      <c r="D1047" s="39"/>
      <c r="E1047" s="19">
        <v>6688121</v>
      </c>
      <c r="F1047" s="20" t="s">
        <v>117</v>
      </c>
      <c r="G1047" s="20" t="s">
        <v>1366</v>
      </c>
      <c r="H1047" s="32" t="s">
        <v>3896</v>
      </c>
      <c r="I1047" s="25" t="s">
        <v>64</v>
      </c>
      <c r="J1047" s="25"/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 t="s">
        <v>3897</v>
      </c>
      <c r="Y1047" s="25"/>
      <c r="Z1047" s="25"/>
      <c r="AA1047" s="40"/>
      <c r="AB1047" s="40"/>
      <c r="AC1047" s="25" t="str">
        <f>TRIM(StudentScore[[#This Row],[Student Email]])</f>
        <v>supitsara.tan@student.mahidol.ac.th</v>
      </c>
    </row>
    <row r="1048" spans="1:29" ht="27">
      <c r="A1048" s="62"/>
      <c r="B1048" s="27">
        <f t="shared" si="54"/>
        <v>66</v>
      </c>
      <c r="C1048" s="27">
        <f t="shared" si="55"/>
        <v>2026</v>
      </c>
      <c r="D1048" s="39"/>
      <c r="E1048" s="19">
        <v>6688122</v>
      </c>
      <c r="F1048" s="20" t="s">
        <v>38</v>
      </c>
      <c r="G1048" s="20" t="s">
        <v>3898</v>
      </c>
      <c r="H1048" s="32" t="s">
        <v>3899</v>
      </c>
      <c r="I1048" s="25" t="s">
        <v>64</v>
      </c>
      <c r="J1048" s="25"/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 t="s">
        <v>3900</v>
      </c>
      <c r="Y1048" s="25"/>
      <c r="Z1048" s="25"/>
      <c r="AA1048" s="40"/>
      <c r="AB1048" s="40"/>
      <c r="AC1048" s="25" t="str">
        <f>TRIM(StudentScore[[#This Row],[Student Email]])</f>
        <v>polamud.tan@student.mahidol.ac.th</v>
      </c>
    </row>
    <row r="1049" spans="1:29" ht="27">
      <c r="A1049" s="62"/>
      <c r="B1049" s="27">
        <f t="shared" si="54"/>
        <v>66</v>
      </c>
      <c r="C1049" s="27">
        <f t="shared" si="55"/>
        <v>2026</v>
      </c>
      <c r="D1049" s="39"/>
      <c r="E1049" s="19">
        <v>6688124</v>
      </c>
      <c r="F1049" s="20" t="s">
        <v>38</v>
      </c>
      <c r="G1049" s="20" t="s">
        <v>3901</v>
      </c>
      <c r="H1049" s="32" t="s">
        <v>3902</v>
      </c>
      <c r="I1049" s="25" t="s">
        <v>64</v>
      </c>
      <c r="J1049" s="25"/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 t="s">
        <v>3903</v>
      </c>
      <c r="Y1049" s="25"/>
      <c r="Z1049" s="25"/>
      <c r="AA1049" s="40"/>
      <c r="AB1049" s="40"/>
      <c r="AC1049" s="25" t="str">
        <f>TRIM(StudentScore[[#This Row],[Student Email]])</f>
        <v>nithit.tee@student.mahidol.ac.th</v>
      </c>
    </row>
    <row r="1050" spans="1:29" ht="27">
      <c r="A1050" s="62"/>
      <c r="B1050" s="27">
        <f t="shared" si="54"/>
        <v>66</v>
      </c>
      <c r="C1050" s="27">
        <f t="shared" si="55"/>
        <v>2026</v>
      </c>
      <c r="D1050" s="39"/>
      <c r="E1050" s="19">
        <v>6688125</v>
      </c>
      <c r="F1050" s="20" t="s">
        <v>38</v>
      </c>
      <c r="G1050" s="20" t="s">
        <v>3904</v>
      </c>
      <c r="H1050" s="32" t="s">
        <v>3905</v>
      </c>
      <c r="I1050" s="25" t="s">
        <v>64</v>
      </c>
      <c r="J1050" s="25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 t="s">
        <v>3906</v>
      </c>
      <c r="Y1050" s="25"/>
      <c r="Z1050" s="25"/>
      <c r="AA1050" s="40"/>
      <c r="AB1050" s="40"/>
      <c r="AC1050" s="25" t="str">
        <f>TRIM(StudentScore[[#This Row],[Student Email]])</f>
        <v>nanthit.tem@student.mahidol.ac.th</v>
      </c>
    </row>
    <row r="1051" spans="1:29" ht="27">
      <c r="A1051" s="62"/>
      <c r="B1051" s="27">
        <f t="shared" si="54"/>
        <v>66</v>
      </c>
      <c r="C1051" s="27">
        <f t="shared" si="55"/>
        <v>2026</v>
      </c>
      <c r="D1051" s="39"/>
      <c r="E1051" s="19">
        <v>6688126</v>
      </c>
      <c r="F1051" s="20" t="s">
        <v>38</v>
      </c>
      <c r="G1051" s="20" t="s">
        <v>3907</v>
      </c>
      <c r="H1051" s="32" t="s">
        <v>3908</v>
      </c>
      <c r="I1051" s="25" t="s">
        <v>64</v>
      </c>
      <c r="J1051" s="25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 t="s">
        <v>3909</v>
      </c>
      <c r="Y1051" s="25"/>
      <c r="Z1051" s="25"/>
      <c r="AA1051" s="40"/>
      <c r="AB1051" s="40"/>
      <c r="AC1051" s="25" t="str">
        <f>TRIM(StudentScore[[#This Row],[Student Email]])</f>
        <v>piyachat.tha@student.mahidol.ac.th</v>
      </c>
    </row>
    <row r="1052" spans="1:29" ht="27">
      <c r="A1052" s="62"/>
      <c r="B1052" s="27">
        <f t="shared" si="54"/>
        <v>66</v>
      </c>
      <c r="C1052" s="27">
        <f t="shared" si="55"/>
        <v>2026</v>
      </c>
      <c r="D1052" s="39"/>
      <c r="E1052" s="19">
        <v>6688127</v>
      </c>
      <c r="F1052" s="20" t="s">
        <v>117</v>
      </c>
      <c r="G1052" s="20" t="s">
        <v>3910</v>
      </c>
      <c r="H1052" s="32" t="s">
        <v>3911</v>
      </c>
      <c r="I1052" s="25" t="s">
        <v>64</v>
      </c>
      <c r="J1052" s="25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 t="s">
        <v>3912</v>
      </c>
      <c r="Y1052" s="25"/>
      <c r="Z1052" s="25"/>
      <c r="AA1052" s="40"/>
      <c r="AB1052" s="40"/>
      <c r="AC1052" s="25" t="str">
        <f>TRIM(StudentScore[[#This Row],[Student Email]])</f>
        <v>peeraya.thv@student.mahidol.ac.th</v>
      </c>
    </row>
    <row r="1053" spans="1:29" ht="27">
      <c r="A1053" s="62"/>
      <c r="B1053" s="27">
        <f t="shared" si="54"/>
        <v>66</v>
      </c>
      <c r="C1053" s="27">
        <f t="shared" si="55"/>
        <v>2026</v>
      </c>
      <c r="D1053" s="39"/>
      <c r="E1053" s="19">
        <v>6688128</v>
      </c>
      <c r="F1053" s="20" t="s">
        <v>38</v>
      </c>
      <c r="G1053" s="20" t="s">
        <v>3913</v>
      </c>
      <c r="H1053" s="32" t="s">
        <v>3914</v>
      </c>
      <c r="I1053" s="25" t="s">
        <v>64</v>
      </c>
      <c r="J1053" s="25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 t="s">
        <v>3915</v>
      </c>
      <c r="Y1053" s="25"/>
      <c r="Z1053" s="25"/>
      <c r="AA1053" s="40"/>
      <c r="AB1053" s="40"/>
      <c r="AC1053" s="25" t="str">
        <f>TRIM(StudentScore[[#This Row],[Student Email]])</f>
        <v>paradon.tha@student.mahidol.ac.th</v>
      </c>
    </row>
    <row r="1054" spans="1:29" ht="27">
      <c r="A1054" s="62"/>
      <c r="B1054" s="27">
        <f t="shared" si="54"/>
        <v>66</v>
      </c>
      <c r="C1054" s="27">
        <f t="shared" si="55"/>
        <v>2026</v>
      </c>
      <c r="D1054" s="39"/>
      <c r="E1054" s="19">
        <v>6688129</v>
      </c>
      <c r="F1054" s="20" t="s">
        <v>117</v>
      </c>
      <c r="G1054" s="20" t="s">
        <v>3916</v>
      </c>
      <c r="H1054" s="32" t="s">
        <v>3917</v>
      </c>
      <c r="I1054" s="25" t="s">
        <v>64</v>
      </c>
      <c r="J1054" s="25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 t="s">
        <v>3918</v>
      </c>
      <c r="Y1054" s="25"/>
      <c r="Z1054" s="25"/>
      <c r="AA1054" s="40"/>
      <c r="AB1054" s="40"/>
      <c r="AC1054" s="25" t="str">
        <f>TRIM(StudentScore[[#This Row],[Student Email]])</f>
        <v>patsatraporn.tho@student.mahidol.ac.th</v>
      </c>
    </row>
    <row r="1055" spans="1:29" ht="27">
      <c r="A1055" s="62"/>
      <c r="B1055" s="27">
        <f t="shared" si="54"/>
        <v>66</v>
      </c>
      <c r="C1055" s="27">
        <f t="shared" si="55"/>
        <v>2026</v>
      </c>
      <c r="D1055" s="39"/>
      <c r="E1055" s="19">
        <v>6688130</v>
      </c>
      <c r="F1055" s="20" t="s">
        <v>38</v>
      </c>
      <c r="G1055" s="20" t="s">
        <v>3919</v>
      </c>
      <c r="H1055" s="32" t="s">
        <v>3920</v>
      </c>
      <c r="I1055" s="25" t="s">
        <v>64</v>
      </c>
      <c r="J1055" s="25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 t="s">
        <v>3921</v>
      </c>
      <c r="Y1055" s="25"/>
      <c r="Z1055" s="25"/>
      <c r="AA1055" s="40"/>
      <c r="AB1055" s="40"/>
      <c r="AC1055" s="25" t="str">
        <f>TRIM(StudentScore[[#This Row],[Student Email]])</f>
        <v>chonnathee.tho@student.mahidol.ac.th</v>
      </c>
    </row>
    <row r="1056" spans="1:29" ht="27">
      <c r="A1056" s="62"/>
      <c r="B1056" s="27">
        <f t="shared" si="54"/>
        <v>66</v>
      </c>
      <c r="C1056" s="27">
        <f t="shared" si="55"/>
        <v>2026</v>
      </c>
      <c r="D1056" s="39"/>
      <c r="E1056" s="19">
        <v>6688131</v>
      </c>
      <c r="F1056" s="20" t="s">
        <v>117</v>
      </c>
      <c r="G1056" s="20" t="s">
        <v>3922</v>
      </c>
      <c r="H1056" s="32" t="s">
        <v>3923</v>
      </c>
      <c r="I1056" s="25" t="s">
        <v>64</v>
      </c>
      <c r="J1056" s="25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 t="s">
        <v>3924</v>
      </c>
      <c r="Y1056" s="25"/>
      <c r="Z1056" s="25"/>
      <c r="AA1056" s="40"/>
      <c r="AB1056" s="40"/>
      <c r="AC1056" s="25" t="str">
        <f>TRIM(StudentScore[[#This Row],[Student Email]])</f>
        <v>chayocha.tho@student.mahidol.ac.th</v>
      </c>
    </row>
    <row r="1057" spans="1:29" ht="27">
      <c r="A1057" s="62"/>
      <c r="B1057" s="27">
        <f t="shared" si="54"/>
        <v>66</v>
      </c>
      <c r="C1057" s="27">
        <f t="shared" si="55"/>
        <v>2026</v>
      </c>
      <c r="D1057" s="39"/>
      <c r="E1057" s="19">
        <v>6688132</v>
      </c>
      <c r="F1057" s="20" t="s">
        <v>38</v>
      </c>
      <c r="G1057" s="20" t="s">
        <v>3925</v>
      </c>
      <c r="H1057" s="32" t="s">
        <v>3926</v>
      </c>
      <c r="I1057" s="25" t="s">
        <v>64</v>
      </c>
      <c r="J1057" s="25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 t="s">
        <v>3927</v>
      </c>
      <c r="Y1057" s="25"/>
      <c r="Z1057" s="25"/>
      <c r="AA1057" s="40"/>
      <c r="AB1057" s="40"/>
      <c r="AC1057" s="25" t="str">
        <f>TRIM(StudentScore[[#This Row],[Student Email]])</f>
        <v>suppanat.tim@student.mahidol.ac.th</v>
      </c>
    </row>
    <row r="1058" spans="1:29" ht="27">
      <c r="A1058" s="62"/>
      <c r="B1058" s="27">
        <f t="shared" si="54"/>
        <v>66</v>
      </c>
      <c r="C1058" s="27">
        <f t="shared" si="55"/>
        <v>2026</v>
      </c>
      <c r="D1058" s="39"/>
      <c r="E1058" s="19">
        <v>6688133</v>
      </c>
      <c r="F1058" s="20" t="s">
        <v>38</v>
      </c>
      <c r="G1058" s="20" t="s">
        <v>3928</v>
      </c>
      <c r="H1058" s="32" t="s">
        <v>3929</v>
      </c>
      <c r="I1058" s="25" t="s">
        <v>64</v>
      </c>
      <c r="J1058" s="25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 t="s">
        <v>3930</v>
      </c>
      <c r="Y1058" s="25"/>
      <c r="Z1058" s="25"/>
      <c r="AA1058" s="40"/>
      <c r="AB1058" s="40"/>
      <c r="AC1058" s="25" t="str">
        <f>TRIM(StudentScore[[#This Row],[Student Email]])</f>
        <v>chatchanun.tou@student.mahidol.ac.th</v>
      </c>
    </row>
    <row r="1059" spans="1:29" ht="27">
      <c r="A1059" s="62"/>
      <c r="B1059" s="27">
        <f t="shared" si="54"/>
        <v>66</v>
      </c>
      <c r="C1059" s="27">
        <f t="shared" si="55"/>
        <v>2026</v>
      </c>
      <c r="D1059" s="39"/>
      <c r="E1059" s="19">
        <v>6688134</v>
      </c>
      <c r="F1059" s="20" t="s">
        <v>38</v>
      </c>
      <c r="G1059" s="20" t="s">
        <v>1980</v>
      </c>
      <c r="H1059" s="32" t="s">
        <v>3931</v>
      </c>
      <c r="I1059" s="25" t="s">
        <v>64</v>
      </c>
      <c r="J1059" s="25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 t="s">
        <v>3932</v>
      </c>
      <c r="Y1059" s="25"/>
      <c r="Z1059" s="25"/>
      <c r="AA1059" s="40"/>
      <c r="AB1059" s="40"/>
      <c r="AC1059" s="25" t="str">
        <f>TRIM(StudentScore[[#This Row],[Student Email]])</f>
        <v>pawaris.tra@student.mahidol.ac.th</v>
      </c>
    </row>
    <row r="1060" spans="1:29" ht="27">
      <c r="A1060" s="62"/>
      <c r="B1060" s="27">
        <f t="shared" si="54"/>
        <v>66</v>
      </c>
      <c r="C1060" s="27">
        <f t="shared" si="55"/>
        <v>2026</v>
      </c>
      <c r="D1060" s="39"/>
      <c r="E1060" s="19">
        <v>6688135</v>
      </c>
      <c r="F1060" s="20" t="s">
        <v>38</v>
      </c>
      <c r="G1060" s="20" t="s">
        <v>3933</v>
      </c>
      <c r="H1060" s="32" t="s">
        <v>3934</v>
      </c>
      <c r="I1060" s="25" t="s">
        <v>64</v>
      </c>
      <c r="J1060" s="25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 t="s">
        <v>3935</v>
      </c>
      <c r="Y1060" s="25"/>
      <c r="Z1060" s="25"/>
      <c r="AA1060" s="40"/>
      <c r="AB1060" s="40"/>
      <c r="AC1060" s="25" t="str">
        <f>TRIM(StudentScore[[#This Row],[Student Email]])</f>
        <v>thanasil.tub@student.mahidol.ac.th</v>
      </c>
    </row>
    <row r="1061" spans="1:29" ht="27">
      <c r="A1061" s="62"/>
      <c r="B1061" s="27">
        <f t="shared" si="54"/>
        <v>66</v>
      </c>
      <c r="C1061" s="27">
        <f t="shared" si="55"/>
        <v>2026</v>
      </c>
      <c r="D1061" s="39"/>
      <c r="E1061" s="19">
        <v>6688136</v>
      </c>
      <c r="F1061" s="20" t="s">
        <v>38</v>
      </c>
      <c r="G1061" s="20" t="s">
        <v>3936</v>
      </c>
      <c r="H1061" s="32" t="s">
        <v>3937</v>
      </c>
      <c r="I1061" s="25" t="s">
        <v>64</v>
      </c>
      <c r="J1061" s="25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 t="s">
        <v>3938</v>
      </c>
      <c r="Y1061" s="25"/>
      <c r="Z1061" s="25"/>
      <c r="AA1061" s="40"/>
      <c r="AB1061" s="40"/>
      <c r="AC1061" s="25" t="str">
        <f>TRIM(StudentScore[[#This Row],[Student Email]])</f>
        <v>sorayot.udo@student.mahidol.ac.th</v>
      </c>
    </row>
    <row r="1062" spans="1:29" ht="27">
      <c r="A1062" s="62"/>
      <c r="B1062" s="27">
        <f t="shared" ref="B1062:B1125" si="56">VALUE(LEFT(E1062,2))</f>
        <v>66</v>
      </c>
      <c r="C1062" s="27">
        <f t="shared" ref="C1062:C1125" si="57">VALUE("25"&amp;B1062)-543+3</f>
        <v>2026</v>
      </c>
      <c r="D1062" s="39"/>
      <c r="E1062" s="19">
        <v>6688137</v>
      </c>
      <c r="F1062" s="20" t="s">
        <v>117</v>
      </c>
      <c r="G1062" s="20" t="s">
        <v>1309</v>
      </c>
      <c r="H1062" s="32" t="s">
        <v>3939</v>
      </c>
      <c r="I1062" s="25" t="s">
        <v>64</v>
      </c>
      <c r="J1062" s="25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 t="s">
        <v>3940</v>
      </c>
      <c r="Y1062" s="25"/>
      <c r="Z1062" s="25"/>
      <c r="AA1062" s="40"/>
      <c r="AB1062" s="40"/>
      <c r="AC1062" s="25" t="str">
        <f>TRIM(StudentScore[[#This Row],[Student Email]])</f>
        <v>natnicha.upp@student.mahidol.ac.th</v>
      </c>
    </row>
    <row r="1063" spans="1:29" ht="27">
      <c r="A1063" s="62"/>
      <c r="B1063" s="27">
        <f t="shared" si="56"/>
        <v>66</v>
      </c>
      <c r="C1063" s="27">
        <f t="shared" si="57"/>
        <v>2026</v>
      </c>
      <c r="D1063" s="39"/>
      <c r="E1063" s="19">
        <v>6688138</v>
      </c>
      <c r="F1063" s="20" t="s">
        <v>38</v>
      </c>
      <c r="G1063" s="20" t="s">
        <v>3941</v>
      </c>
      <c r="H1063" s="32" t="s">
        <v>3942</v>
      </c>
      <c r="I1063" s="25" t="s">
        <v>64</v>
      </c>
      <c r="J1063" s="25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 t="s">
        <v>3943</v>
      </c>
      <c r="Y1063" s="25"/>
      <c r="Z1063" s="25"/>
      <c r="AA1063" s="40"/>
      <c r="AB1063" s="40"/>
      <c r="AC1063" s="25" t="str">
        <f>TRIM(StudentScore[[#This Row],[Student Email]])</f>
        <v>thakk.van@student.mahidol.ac.th</v>
      </c>
    </row>
    <row r="1064" spans="1:29" ht="27">
      <c r="A1064" s="62"/>
      <c r="B1064" s="27">
        <f t="shared" si="56"/>
        <v>66</v>
      </c>
      <c r="C1064" s="27">
        <f t="shared" si="57"/>
        <v>2026</v>
      </c>
      <c r="D1064" s="39"/>
      <c r="E1064" s="19">
        <v>6688139</v>
      </c>
      <c r="F1064" s="20" t="s">
        <v>38</v>
      </c>
      <c r="G1064" s="20" t="s">
        <v>3944</v>
      </c>
      <c r="H1064" s="32" t="s">
        <v>3945</v>
      </c>
      <c r="I1064" s="25" t="s">
        <v>64</v>
      </c>
      <c r="J1064" s="25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 t="s">
        <v>3946</v>
      </c>
      <c r="Y1064" s="25"/>
      <c r="Z1064" s="25"/>
      <c r="AA1064" s="40"/>
      <c r="AB1064" s="40"/>
      <c r="AC1064" s="25" t="str">
        <f>TRIM(StudentScore[[#This Row],[Student Email]])</f>
        <v>naruebordint.vea@student.mahidol.ac.th</v>
      </c>
    </row>
    <row r="1065" spans="1:29" ht="27">
      <c r="A1065" s="62"/>
      <c r="B1065" s="27">
        <f t="shared" si="56"/>
        <v>66</v>
      </c>
      <c r="C1065" s="27">
        <f t="shared" si="57"/>
        <v>2026</v>
      </c>
      <c r="D1065" s="39"/>
      <c r="E1065" s="19">
        <v>6688140</v>
      </c>
      <c r="F1065" s="20" t="s">
        <v>117</v>
      </c>
      <c r="G1065" s="20" t="s">
        <v>3947</v>
      </c>
      <c r="H1065" s="32" t="s">
        <v>3948</v>
      </c>
      <c r="I1065" s="25" t="s">
        <v>64</v>
      </c>
      <c r="J1065" s="25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 t="s">
        <v>3949</v>
      </c>
      <c r="Y1065" s="25"/>
      <c r="Z1065" s="25"/>
      <c r="AA1065" s="40"/>
      <c r="AB1065" s="40"/>
      <c r="AC1065" s="25" t="str">
        <f>TRIM(StudentScore[[#This Row],[Student Email]])</f>
        <v>kanyanat.was@student.mahidol.ac.th</v>
      </c>
    </row>
    <row r="1066" spans="1:29" ht="27">
      <c r="A1066" s="62"/>
      <c r="B1066" s="27">
        <f t="shared" si="56"/>
        <v>66</v>
      </c>
      <c r="C1066" s="27">
        <f t="shared" si="57"/>
        <v>2026</v>
      </c>
      <c r="D1066" s="39"/>
      <c r="E1066" s="19">
        <v>6688141</v>
      </c>
      <c r="F1066" s="20" t="s">
        <v>38</v>
      </c>
      <c r="G1066" s="20" t="s">
        <v>3950</v>
      </c>
      <c r="H1066" s="32" t="s">
        <v>3951</v>
      </c>
      <c r="I1066" s="25" t="s">
        <v>64</v>
      </c>
      <c r="J1066" s="25"/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 t="s">
        <v>3952</v>
      </c>
      <c r="Y1066" s="25"/>
      <c r="Z1066" s="25"/>
      <c r="AA1066" s="40"/>
      <c r="AB1066" s="40"/>
      <c r="AC1066" s="25" t="str">
        <f>TRIM(StudentScore[[#This Row],[Student Email]])</f>
        <v>rattee.wat@student.mahidol.ac.th</v>
      </c>
    </row>
    <row r="1067" spans="1:29" ht="27">
      <c r="A1067" s="62"/>
      <c r="B1067" s="27">
        <f t="shared" si="56"/>
        <v>66</v>
      </c>
      <c r="C1067" s="27">
        <f t="shared" si="57"/>
        <v>2026</v>
      </c>
      <c r="D1067" s="39"/>
      <c r="E1067" s="19">
        <v>6688142</v>
      </c>
      <c r="F1067" s="20" t="s">
        <v>38</v>
      </c>
      <c r="G1067" s="20" t="s">
        <v>3953</v>
      </c>
      <c r="H1067" s="32" t="s">
        <v>3954</v>
      </c>
      <c r="I1067" s="25" t="s">
        <v>64</v>
      </c>
      <c r="J1067" s="25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 t="s">
        <v>3955</v>
      </c>
      <c r="Y1067" s="25"/>
      <c r="Z1067" s="25"/>
      <c r="AA1067" s="40"/>
      <c r="AB1067" s="40"/>
      <c r="AC1067" s="25" t="str">
        <f>TRIM(StudentScore[[#This Row],[Student Email]])</f>
        <v>krerkkiat.wat@student.mahidol.ac.th</v>
      </c>
    </row>
    <row r="1068" spans="1:29" ht="27">
      <c r="A1068" s="62"/>
      <c r="B1068" s="27">
        <f t="shared" si="56"/>
        <v>66</v>
      </c>
      <c r="C1068" s="27">
        <f t="shared" si="57"/>
        <v>2026</v>
      </c>
      <c r="D1068" s="39"/>
      <c r="E1068" s="19">
        <v>6688143</v>
      </c>
      <c r="F1068" s="20" t="s">
        <v>38</v>
      </c>
      <c r="G1068" s="20" t="s">
        <v>3956</v>
      </c>
      <c r="H1068" s="32" t="s">
        <v>3957</v>
      </c>
      <c r="I1068" s="25" t="s">
        <v>64</v>
      </c>
      <c r="J1068" s="25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 t="s">
        <v>3958</v>
      </c>
      <c r="Y1068" s="25"/>
      <c r="Z1068" s="25"/>
      <c r="AA1068" s="40"/>
      <c r="AB1068" s="40"/>
      <c r="AC1068" s="25" t="str">
        <f>TRIM(StudentScore[[#This Row],[Student Email]])</f>
        <v>teemtat.wee@student.mahidol.ac.th</v>
      </c>
    </row>
    <row r="1069" spans="1:29" ht="27">
      <c r="A1069" s="62"/>
      <c r="B1069" s="27">
        <f t="shared" si="56"/>
        <v>66</v>
      </c>
      <c r="C1069" s="27">
        <f t="shared" si="57"/>
        <v>2026</v>
      </c>
      <c r="D1069" s="39"/>
      <c r="E1069" s="19">
        <v>6688144</v>
      </c>
      <c r="F1069" s="20" t="s">
        <v>38</v>
      </c>
      <c r="G1069" s="20" t="s">
        <v>447</v>
      </c>
      <c r="H1069" s="32" t="s">
        <v>3959</v>
      </c>
      <c r="I1069" s="25" t="s">
        <v>64</v>
      </c>
      <c r="J1069" s="25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 t="s">
        <v>3960</v>
      </c>
      <c r="Y1069" s="25"/>
      <c r="Z1069" s="25"/>
      <c r="AA1069" s="40"/>
      <c r="AB1069" s="40"/>
      <c r="AC1069" s="25" t="str">
        <f>TRIM(StudentScore[[#This Row],[Student Email]])</f>
        <v>napat.wia@student.mahidol.ac.th</v>
      </c>
    </row>
    <row r="1070" spans="1:29" ht="27">
      <c r="A1070" s="62"/>
      <c r="B1070" s="27">
        <f t="shared" si="56"/>
        <v>66</v>
      </c>
      <c r="C1070" s="27">
        <f t="shared" si="57"/>
        <v>2026</v>
      </c>
      <c r="D1070" s="39"/>
      <c r="E1070" s="19">
        <v>6688145</v>
      </c>
      <c r="F1070" s="20" t="s">
        <v>38</v>
      </c>
      <c r="G1070" s="20" t="s">
        <v>3758</v>
      </c>
      <c r="H1070" s="32" t="s">
        <v>3961</v>
      </c>
      <c r="I1070" s="25" t="s">
        <v>64</v>
      </c>
      <c r="J1070" s="25"/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 t="s">
        <v>3962</v>
      </c>
      <c r="Y1070" s="25"/>
      <c r="Z1070" s="25"/>
      <c r="AA1070" s="40"/>
      <c r="AB1070" s="40"/>
      <c r="AC1070" s="25" t="str">
        <f>TRIM(StudentScore[[#This Row],[Student Email]])</f>
        <v>chayakorn.win@student.mahidol.ac.th</v>
      </c>
    </row>
    <row r="1071" spans="1:29" ht="27">
      <c r="A1071" s="62"/>
      <c r="B1071" s="27">
        <f t="shared" si="56"/>
        <v>66</v>
      </c>
      <c r="C1071" s="27">
        <f t="shared" si="57"/>
        <v>2026</v>
      </c>
      <c r="D1071" s="39"/>
      <c r="E1071" s="19">
        <v>6688146</v>
      </c>
      <c r="F1071" s="20" t="s">
        <v>117</v>
      </c>
      <c r="G1071" s="20" t="s">
        <v>721</v>
      </c>
      <c r="H1071" s="32" t="s">
        <v>3963</v>
      </c>
      <c r="I1071" s="25" t="s">
        <v>64</v>
      </c>
      <c r="J1071" s="25"/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 t="s">
        <v>3964</v>
      </c>
      <c r="Y1071" s="25"/>
      <c r="Z1071" s="25"/>
      <c r="AA1071" s="40"/>
      <c r="AB1071" s="40"/>
      <c r="AC1071" s="25" t="str">
        <f>TRIM(StudentScore[[#This Row],[Student Email]])</f>
        <v>nichakorn.wis@student.mahidol.ac.th</v>
      </c>
    </row>
    <row r="1072" spans="1:29" ht="27">
      <c r="A1072" s="62"/>
      <c r="B1072" s="27">
        <f t="shared" si="56"/>
        <v>66</v>
      </c>
      <c r="C1072" s="27">
        <f t="shared" si="57"/>
        <v>2026</v>
      </c>
      <c r="D1072" s="39"/>
      <c r="E1072" s="19">
        <v>6688147</v>
      </c>
      <c r="F1072" s="20" t="s">
        <v>38</v>
      </c>
      <c r="G1072" s="20" t="s">
        <v>3965</v>
      </c>
      <c r="H1072" s="32" t="s">
        <v>3966</v>
      </c>
      <c r="I1072" s="25" t="s">
        <v>64</v>
      </c>
      <c r="J1072" s="25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 t="s">
        <v>3967</v>
      </c>
      <c r="Y1072" s="25"/>
      <c r="Z1072" s="25"/>
      <c r="AA1072" s="40"/>
      <c r="AB1072" s="40"/>
      <c r="AC1072" s="25" t="str">
        <f>TRIM(StudentScore[[#This Row],[Student Email]])</f>
        <v>tarit.wit@student.mahidol.ac.th</v>
      </c>
    </row>
    <row r="1073" spans="1:29" ht="27">
      <c r="A1073" s="62"/>
      <c r="B1073" s="27">
        <f t="shared" si="56"/>
        <v>66</v>
      </c>
      <c r="C1073" s="27">
        <f t="shared" si="57"/>
        <v>2026</v>
      </c>
      <c r="D1073" s="39"/>
      <c r="E1073" s="19">
        <v>6688148</v>
      </c>
      <c r="F1073" s="20" t="s">
        <v>38</v>
      </c>
      <c r="G1073" s="20" t="s">
        <v>3968</v>
      </c>
      <c r="H1073" s="32" t="s">
        <v>3969</v>
      </c>
      <c r="I1073" s="25" t="s">
        <v>64</v>
      </c>
      <c r="J1073" s="25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 t="s">
        <v>3970</v>
      </c>
      <c r="Y1073" s="25"/>
      <c r="Z1073" s="25"/>
      <c r="AA1073" s="40"/>
      <c r="AB1073" s="40"/>
      <c r="AC1073" s="25" t="str">
        <f>TRIM(StudentScore[[#This Row],[Student Email]])</f>
        <v>bunyakorn.won@student.mahidol.ac.th</v>
      </c>
    </row>
    <row r="1074" spans="1:29" ht="27">
      <c r="A1074" s="62"/>
      <c r="B1074" s="27">
        <f t="shared" si="56"/>
        <v>66</v>
      </c>
      <c r="C1074" s="27">
        <f t="shared" si="57"/>
        <v>2026</v>
      </c>
      <c r="D1074" s="39"/>
      <c r="E1074" s="19">
        <v>6688149</v>
      </c>
      <c r="F1074" s="20" t="s">
        <v>117</v>
      </c>
      <c r="G1074" s="20" t="s">
        <v>1543</v>
      </c>
      <c r="H1074" s="32" t="s">
        <v>3971</v>
      </c>
      <c r="I1074" s="25" t="s">
        <v>64</v>
      </c>
      <c r="J1074" s="25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 t="s">
        <v>3972</v>
      </c>
      <c r="Y1074" s="25"/>
      <c r="Z1074" s="25"/>
      <c r="AA1074" s="40"/>
      <c r="AB1074" s="40"/>
      <c r="AC1074" s="25" t="str">
        <f>TRIM(StudentScore[[#This Row],[Student Email]])</f>
        <v>pattanan.wun@student.mahidol.ac.th</v>
      </c>
    </row>
    <row r="1075" spans="1:29" ht="27">
      <c r="A1075" s="62"/>
      <c r="B1075" s="27">
        <f t="shared" si="56"/>
        <v>66</v>
      </c>
      <c r="C1075" s="27">
        <f t="shared" si="57"/>
        <v>2026</v>
      </c>
      <c r="D1075" s="39"/>
      <c r="E1075" s="19">
        <v>6688150</v>
      </c>
      <c r="F1075" s="20" t="s">
        <v>38</v>
      </c>
      <c r="G1075" s="20" t="s">
        <v>312</v>
      </c>
      <c r="H1075" s="32" t="s">
        <v>3973</v>
      </c>
      <c r="I1075" s="25" t="s">
        <v>64</v>
      </c>
      <c r="J1075" s="25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 t="s">
        <v>3974</v>
      </c>
      <c r="Y1075" s="25"/>
      <c r="Z1075" s="25"/>
      <c r="AA1075" s="40"/>
      <c r="AB1075" s="40"/>
      <c r="AC1075" s="25" t="str">
        <f>TRIM(StudentScore[[#This Row],[Student Email]])</f>
        <v>suphanat.xut@student.mahidol.ac.th</v>
      </c>
    </row>
    <row r="1076" spans="1:29" ht="27">
      <c r="A1076" s="62"/>
      <c r="B1076" s="27">
        <f t="shared" si="56"/>
        <v>66</v>
      </c>
      <c r="C1076" s="27">
        <f t="shared" si="57"/>
        <v>2026</v>
      </c>
      <c r="D1076" s="39"/>
      <c r="E1076" s="19">
        <v>6688151</v>
      </c>
      <c r="F1076" s="20" t="s">
        <v>38</v>
      </c>
      <c r="G1076" s="20" t="s">
        <v>3975</v>
      </c>
      <c r="H1076" s="32" t="s">
        <v>3976</v>
      </c>
      <c r="I1076" s="25" t="s">
        <v>64</v>
      </c>
      <c r="J1076" s="25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 t="s">
        <v>3977</v>
      </c>
      <c r="Y1076" s="25"/>
      <c r="Z1076" s="25"/>
      <c r="AA1076" s="40"/>
      <c r="AB1076" s="40"/>
      <c r="AC1076" s="25" t="str">
        <f>TRIM(StudentScore[[#This Row],[Student Email]])</f>
        <v>ananyos.yai@student.mahidol.ac.th</v>
      </c>
    </row>
    <row r="1077" spans="1:29" ht="27">
      <c r="A1077" s="62"/>
      <c r="B1077" s="27">
        <f t="shared" si="56"/>
        <v>66</v>
      </c>
      <c r="C1077" s="27">
        <f t="shared" si="57"/>
        <v>2026</v>
      </c>
      <c r="D1077" s="39"/>
      <c r="E1077" s="19">
        <v>6688152</v>
      </c>
      <c r="F1077" s="20" t="s">
        <v>38</v>
      </c>
      <c r="G1077" s="20" t="s">
        <v>3978</v>
      </c>
      <c r="H1077" s="32" t="s">
        <v>3979</v>
      </c>
      <c r="I1077" s="25" t="s">
        <v>64</v>
      </c>
      <c r="J1077" s="25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 t="s">
        <v>3980</v>
      </c>
      <c r="Y1077" s="25"/>
      <c r="Z1077" s="25"/>
      <c r="AA1077" s="40"/>
      <c r="AB1077" s="40"/>
      <c r="AC1077" s="25" t="str">
        <f>TRIM(StudentScore[[#This Row],[Student Email]])</f>
        <v>thanadon.yin@student.mahidol.ac.th</v>
      </c>
    </row>
    <row r="1078" spans="1:29" ht="27">
      <c r="A1078" s="62"/>
      <c r="B1078" s="27">
        <f t="shared" si="56"/>
        <v>66</v>
      </c>
      <c r="C1078" s="27">
        <f t="shared" si="57"/>
        <v>2026</v>
      </c>
      <c r="D1078" s="39"/>
      <c r="E1078" s="19">
        <v>6688153</v>
      </c>
      <c r="F1078" s="20" t="s">
        <v>117</v>
      </c>
      <c r="G1078" s="20" t="s">
        <v>3981</v>
      </c>
      <c r="H1078" s="32" t="s">
        <v>3982</v>
      </c>
      <c r="I1078" s="25" t="s">
        <v>64</v>
      </c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 t="s">
        <v>3983</v>
      </c>
      <c r="Y1078" s="25"/>
      <c r="Z1078" s="25"/>
      <c r="AA1078" s="40"/>
      <c r="AB1078" s="40"/>
      <c r="AC1078" s="25" t="str">
        <f>TRIM(StudentScore[[#This Row],[Student Email]])</f>
        <v>chatrudee.yod@student.mahidol.ac.th</v>
      </c>
    </row>
    <row r="1079" spans="1:29" ht="27">
      <c r="A1079" s="62"/>
      <c r="B1079" s="27">
        <f t="shared" si="56"/>
        <v>66</v>
      </c>
      <c r="C1079" s="27">
        <f t="shared" si="57"/>
        <v>2026</v>
      </c>
      <c r="D1079" s="39"/>
      <c r="E1079" s="19">
        <v>6688154</v>
      </c>
      <c r="F1079" s="20" t="s">
        <v>117</v>
      </c>
      <c r="G1079" s="20" t="s">
        <v>3984</v>
      </c>
      <c r="H1079" s="32" t="s">
        <v>3985</v>
      </c>
      <c r="I1079" s="25" t="s">
        <v>64</v>
      </c>
      <c r="J1079" s="25"/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 t="s">
        <v>3986</v>
      </c>
      <c r="Y1079" s="25"/>
      <c r="Z1079" s="25"/>
      <c r="AA1079" s="40"/>
      <c r="AB1079" s="40"/>
      <c r="AC1079" s="25" t="str">
        <f>TRIM(StudentScore[[#This Row],[Student Email]])</f>
        <v>pawina@student.mahidol.ac.th</v>
      </c>
    </row>
    <row r="1080" spans="1:29" ht="27">
      <c r="A1080" s="62"/>
      <c r="B1080" s="27">
        <f t="shared" si="56"/>
        <v>66</v>
      </c>
      <c r="C1080" s="27">
        <f t="shared" si="57"/>
        <v>2026</v>
      </c>
      <c r="D1080" s="39"/>
      <c r="E1080" s="19">
        <v>6688155</v>
      </c>
      <c r="F1080" s="20" t="s">
        <v>38</v>
      </c>
      <c r="G1080" s="20" t="s">
        <v>3987</v>
      </c>
      <c r="H1080" s="32" t="s">
        <v>3988</v>
      </c>
      <c r="I1080" s="25" t="s">
        <v>64</v>
      </c>
      <c r="J1080" s="25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 t="s">
        <v>3989</v>
      </c>
      <c r="Y1080" s="25"/>
      <c r="Z1080" s="25"/>
      <c r="AA1080" s="40"/>
      <c r="AB1080" s="40"/>
      <c r="AC1080" s="25" t="str">
        <f>TRIM(StudentScore[[#This Row],[Student Email]])</f>
        <v>nattaphong.jul@student.mahidol.ac.th</v>
      </c>
    </row>
    <row r="1081" spans="1:29" ht="27">
      <c r="A1081" s="62"/>
      <c r="B1081" s="27">
        <f t="shared" si="56"/>
        <v>66</v>
      </c>
      <c r="C1081" s="27">
        <f t="shared" si="57"/>
        <v>2026</v>
      </c>
      <c r="D1081" s="39"/>
      <c r="E1081" s="19">
        <v>6688157</v>
      </c>
      <c r="F1081" s="20" t="s">
        <v>38</v>
      </c>
      <c r="G1081" s="20" t="s">
        <v>3990</v>
      </c>
      <c r="H1081" s="32" t="s">
        <v>3991</v>
      </c>
      <c r="I1081" s="25" t="s">
        <v>64</v>
      </c>
      <c r="J1081" s="25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 t="s">
        <v>3992</v>
      </c>
      <c r="Y1081" s="25"/>
      <c r="Z1081" s="25"/>
      <c r="AA1081" s="40"/>
      <c r="AB1081" s="40"/>
      <c r="AC1081" s="25" t="str">
        <f>TRIM(StudentScore[[#This Row],[Student Email]])</f>
        <v>woraphol.mea@student.mahidol.ac.th</v>
      </c>
    </row>
    <row r="1082" spans="1:29" ht="27">
      <c r="A1082" s="62"/>
      <c r="B1082" s="27">
        <f t="shared" si="56"/>
        <v>66</v>
      </c>
      <c r="C1082" s="27">
        <f t="shared" si="57"/>
        <v>2026</v>
      </c>
      <c r="D1082" s="39"/>
      <c r="E1082" s="19">
        <v>6688158</v>
      </c>
      <c r="F1082" s="20" t="s">
        <v>38</v>
      </c>
      <c r="G1082" s="20" t="s">
        <v>556</v>
      </c>
      <c r="H1082" s="32" t="s">
        <v>3993</v>
      </c>
      <c r="I1082" s="25" t="s">
        <v>64</v>
      </c>
      <c r="J1082" s="25"/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 t="s">
        <v>3994</v>
      </c>
      <c r="Y1082" s="25"/>
      <c r="Z1082" s="25"/>
      <c r="AA1082" s="40"/>
      <c r="AB1082" s="40"/>
      <c r="AC1082" s="25" t="str">
        <f>TRIM(StudentScore[[#This Row],[Student Email]])</f>
        <v>saharat.nic@student.mahidol.ac.th</v>
      </c>
    </row>
    <row r="1083" spans="1:29" ht="27">
      <c r="A1083" s="62"/>
      <c r="B1083" s="27">
        <f t="shared" si="56"/>
        <v>66</v>
      </c>
      <c r="C1083" s="27">
        <f t="shared" si="57"/>
        <v>2026</v>
      </c>
      <c r="D1083" s="39"/>
      <c r="E1083" s="19">
        <v>6688159</v>
      </c>
      <c r="F1083" s="20" t="s">
        <v>38</v>
      </c>
      <c r="G1083" s="20" t="s">
        <v>3995</v>
      </c>
      <c r="H1083" s="32" t="s">
        <v>3996</v>
      </c>
      <c r="I1083" s="25" t="s">
        <v>64</v>
      </c>
      <c r="J1083" s="25"/>
      <c r="K1083" s="25"/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 t="s">
        <v>3997</v>
      </c>
      <c r="Y1083" s="25"/>
      <c r="Z1083" s="25"/>
      <c r="AA1083" s="40"/>
      <c r="AB1083" s="40"/>
      <c r="AC1083" s="25" t="str">
        <f>TRIM(StudentScore[[#This Row],[Student Email]])</f>
        <v>ayumu.sak@student.mahidol.ac.th</v>
      </c>
    </row>
    <row r="1084" spans="1:29" ht="27">
      <c r="A1084" s="62"/>
      <c r="B1084" s="27">
        <f t="shared" si="56"/>
        <v>66</v>
      </c>
      <c r="C1084" s="27">
        <f t="shared" si="57"/>
        <v>2026</v>
      </c>
      <c r="D1084" s="39"/>
      <c r="E1084" s="19">
        <v>6688160</v>
      </c>
      <c r="F1084" s="20" t="s">
        <v>38</v>
      </c>
      <c r="G1084" s="20" t="s">
        <v>3998</v>
      </c>
      <c r="H1084" s="32" t="s">
        <v>3999</v>
      </c>
      <c r="I1084" s="25" t="s">
        <v>64</v>
      </c>
      <c r="J1084" s="25"/>
      <c r="K1084" s="25"/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 t="s">
        <v>4000</v>
      </c>
      <c r="Y1084" s="25"/>
      <c r="Z1084" s="25"/>
      <c r="AA1084" s="40"/>
      <c r="AB1084" s="40"/>
      <c r="AC1084" s="25" t="str">
        <f>TRIM(StudentScore[[#This Row],[Student Email]])</f>
        <v>akanat.api@student.mahidol.ac.th</v>
      </c>
    </row>
    <row r="1085" spans="1:29" ht="27">
      <c r="A1085" s="62"/>
      <c r="B1085" s="27">
        <f t="shared" si="56"/>
        <v>66</v>
      </c>
      <c r="C1085" s="27">
        <f t="shared" si="57"/>
        <v>2026</v>
      </c>
      <c r="D1085" s="39"/>
      <c r="E1085" s="19">
        <v>6688161</v>
      </c>
      <c r="F1085" s="20" t="s">
        <v>38</v>
      </c>
      <c r="G1085" s="20" t="s">
        <v>4001</v>
      </c>
      <c r="H1085" s="32" t="s">
        <v>4002</v>
      </c>
      <c r="I1085" s="25" t="s">
        <v>64</v>
      </c>
      <c r="J1085" s="25"/>
      <c r="K1085" s="25"/>
      <c r="L1085" s="25"/>
      <c r="M1085" s="25"/>
      <c r="N1085" s="25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 t="s">
        <v>4003</v>
      </c>
      <c r="Y1085" s="25"/>
      <c r="Z1085" s="25"/>
      <c r="AA1085" s="40"/>
      <c r="AB1085" s="40"/>
      <c r="AC1085" s="25" t="str">
        <f>TRIM(StudentScore[[#This Row],[Student Email]])</f>
        <v>tinnaphob.boo@student.mahidol.ac.th</v>
      </c>
    </row>
    <row r="1086" spans="1:29" ht="27">
      <c r="A1086" s="62"/>
      <c r="B1086" s="27">
        <f t="shared" si="56"/>
        <v>66</v>
      </c>
      <c r="C1086" s="27">
        <f t="shared" si="57"/>
        <v>2026</v>
      </c>
      <c r="D1086" s="39"/>
      <c r="E1086" s="19">
        <v>6688162</v>
      </c>
      <c r="F1086" s="20" t="s">
        <v>117</v>
      </c>
      <c r="G1086" s="20" t="s">
        <v>4004</v>
      </c>
      <c r="H1086" s="32" t="s">
        <v>4005</v>
      </c>
      <c r="I1086" s="25" t="s">
        <v>64</v>
      </c>
      <c r="J1086" s="25"/>
      <c r="K1086" s="25"/>
      <c r="L1086" s="25"/>
      <c r="M1086" s="25"/>
      <c r="N1086" s="25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 t="s">
        <v>4006</v>
      </c>
      <c r="Y1086" s="25"/>
      <c r="Z1086" s="25"/>
      <c r="AA1086" s="40"/>
      <c r="AB1086" s="40"/>
      <c r="AC1086" s="25" t="str">
        <f>TRIM(StudentScore[[#This Row],[Student Email]])</f>
        <v>phonchanit.cha@student.mahidol.ac.th</v>
      </c>
    </row>
    <row r="1087" spans="1:29" ht="27">
      <c r="A1087" s="62"/>
      <c r="B1087" s="27">
        <f t="shared" si="56"/>
        <v>66</v>
      </c>
      <c r="C1087" s="27">
        <f t="shared" si="57"/>
        <v>2026</v>
      </c>
      <c r="D1087" s="39"/>
      <c r="E1087" s="19">
        <v>6688163</v>
      </c>
      <c r="F1087" s="20" t="s">
        <v>117</v>
      </c>
      <c r="G1087" s="20" t="s">
        <v>4007</v>
      </c>
      <c r="H1087" s="32" t="s">
        <v>4008</v>
      </c>
      <c r="I1087" s="25" t="s">
        <v>64</v>
      </c>
      <c r="J1087" s="25"/>
      <c r="K1087" s="25"/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 t="s">
        <v>4009</v>
      </c>
      <c r="Y1087" s="25"/>
      <c r="Z1087" s="25"/>
      <c r="AA1087" s="40"/>
      <c r="AB1087" s="40"/>
      <c r="AC1087" s="25" t="str">
        <f>TRIM(StudentScore[[#This Row],[Student Email]])</f>
        <v>aroonrat.cho@student.mahidol.ac.th</v>
      </c>
    </row>
    <row r="1088" spans="1:29" ht="27">
      <c r="A1088" s="62"/>
      <c r="B1088" s="27">
        <f t="shared" si="56"/>
        <v>66</v>
      </c>
      <c r="C1088" s="27">
        <f t="shared" si="57"/>
        <v>2026</v>
      </c>
      <c r="D1088" s="39"/>
      <c r="E1088" s="19">
        <v>6688164</v>
      </c>
      <c r="F1088" s="20" t="s">
        <v>38</v>
      </c>
      <c r="G1088" s="20" t="s">
        <v>4010</v>
      </c>
      <c r="H1088" s="32" t="s">
        <v>4011</v>
      </c>
      <c r="I1088" s="25" t="s">
        <v>64</v>
      </c>
      <c r="J1088" s="25"/>
      <c r="K1088" s="25"/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 t="s">
        <v>4012</v>
      </c>
      <c r="Y1088" s="25"/>
      <c r="Z1088" s="25"/>
      <c r="AA1088" s="40"/>
      <c r="AB1088" s="40"/>
      <c r="AC1088" s="25" t="str">
        <f>TRIM(StudentScore[[#This Row],[Student Email]])</f>
        <v>veerakron.noi@student.mahidol.ac.th</v>
      </c>
    </row>
    <row r="1089" spans="1:29" ht="27">
      <c r="A1089" s="62"/>
      <c r="B1089" s="27">
        <f t="shared" si="56"/>
        <v>66</v>
      </c>
      <c r="C1089" s="27">
        <f t="shared" si="57"/>
        <v>2026</v>
      </c>
      <c r="D1089" s="39"/>
      <c r="E1089" s="19">
        <v>6688165</v>
      </c>
      <c r="F1089" s="20" t="s">
        <v>38</v>
      </c>
      <c r="G1089" s="20" t="s">
        <v>4013</v>
      </c>
      <c r="H1089" s="32" t="s">
        <v>4014</v>
      </c>
      <c r="I1089" s="25" t="s">
        <v>64</v>
      </c>
      <c r="J1089" s="25"/>
      <c r="K1089" s="25"/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 t="s">
        <v>4015</v>
      </c>
      <c r="Y1089" s="25"/>
      <c r="Z1089" s="25"/>
      <c r="AA1089" s="40"/>
      <c r="AB1089" s="40"/>
      <c r="AC1089" s="25" t="str">
        <f>TRIM(StudentScore[[#This Row],[Student Email]])</f>
        <v>phatpharid.pha@student.mahidol.ac.th</v>
      </c>
    </row>
    <row r="1090" spans="1:29" ht="27">
      <c r="A1090" s="62"/>
      <c r="B1090" s="27">
        <f t="shared" si="56"/>
        <v>66</v>
      </c>
      <c r="C1090" s="27">
        <f t="shared" si="57"/>
        <v>2026</v>
      </c>
      <c r="D1090" s="39"/>
      <c r="E1090" s="19">
        <v>6688166</v>
      </c>
      <c r="F1090" s="20" t="s">
        <v>38</v>
      </c>
      <c r="G1090" s="20" t="s">
        <v>1968</v>
      </c>
      <c r="H1090" s="32" t="s">
        <v>4016</v>
      </c>
      <c r="I1090" s="25" t="s">
        <v>64</v>
      </c>
      <c r="J1090" s="25"/>
      <c r="K1090" s="25"/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 t="s">
        <v>4017</v>
      </c>
      <c r="Y1090" s="25"/>
      <c r="Z1090" s="25"/>
      <c r="AA1090" s="40"/>
      <c r="AB1090" s="40"/>
      <c r="AC1090" s="25" t="str">
        <f>TRIM(StudentScore[[#This Row],[Student Email]])</f>
        <v>supawit.sik@student.mahidol.ac.th</v>
      </c>
    </row>
    <row r="1091" spans="1:29" ht="27">
      <c r="A1091" s="62"/>
      <c r="B1091" s="27">
        <f t="shared" si="56"/>
        <v>66</v>
      </c>
      <c r="C1091" s="27">
        <f t="shared" si="57"/>
        <v>2026</v>
      </c>
      <c r="D1091" s="39"/>
      <c r="E1091" s="19">
        <v>6688167</v>
      </c>
      <c r="F1091" s="20" t="s">
        <v>117</v>
      </c>
      <c r="G1091" s="20" t="s">
        <v>4018</v>
      </c>
      <c r="H1091" s="32" t="s">
        <v>4019</v>
      </c>
      <c r="I1091" s="25" t="s">
        <v>64</v>
      </c>
      <c r="J1091" s="25"/>
      <c r="K1091" s="25"/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 t="s">
        <v>4020</v>
      </c>
      <c r="Y1091" s="25"/>
      <c r="Z1091" s="25"/>
      <c r="AA1091" s="40"/>
      <c r="AB1091" s="40"/>
      <c r="AC1091" s="25" t="str">
        <f>TRIM(StudentScore[[#This Row],[Student Email]])</f>
        <v>thamonwan.sue@student.mahidol.ac.th</v>
      </c>
    </row>
    <row r="1092" spans="1:29" ht="27">
      <c r="A1092" s="62"/>
      <c r="B1092" s="27">
        <f t="shared" si="56"/>
        <v>66</v>
      </c>
      <c r="C1092" s="27">
        <f t="shared" si="57"/>
        <v>2026</v>
      </c>
      <c r="D1092" s="39"/>
      <c r="E1092" s="19">
        <v>6688168</v>
      </c>
      <c r="F1092" s="20" t="s">
        <v>117</v>
      </c>
      <c r="G1092" s="20" t="s">
        <v>4021</v>
      </c>
      <c r="H1092" s="32" t="s">
        <v>4022</v>
      </c>
      <c r="I1092" s="25" t="s">
        <v>64</v>
      </c>
      <c r="J1092" s="25"/>
      <c r="K1092" s="25"/>
      <c r="L1092" s="25"/>
      <c r="M1092" s="25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 t="s">
        <v>4023</v>
      </c>
      <c r="Y1092" s="25"/>
      <c r="Z1092" s="25"/>
      <c r="AA1092" s="40"/>
      <c r="AB1092" s="40"/>
      <c r="AC1092" s="25" t="str">
        <f>TRIM(StudentScore[[#This Row],[Student Email]])</f>
        <v>pornthita.suk@student.mahidol.ac.th</v>
      </c>
    </row>
    <row r="1093" spans="1:29" ht="27">
      <c r="A1093" s="62"/>
      <c r="B1093" s="27">
        <f t="shared" si="56"/>
        <v>66</v>
      </c>
      <c r="C1093" s="27">
        <f t="shared" si="57"/>
        <v>2026</v>
      </c>
      <c r="D1093" s="39"/>
      <c r="E1093" s="19">
        <v>6688169</v>
      </c>
      <c r="F1093" s="20" t="s">
        <v>38</v>
      </c>
      <c r="G1093" s="20" t="s">
        <v>4024</v>
      </c>
      <c r="H1093" s="32" t="s">
        <v>4025</v>
      </c>
      <c r="I1093" s="25" t="s">
        <v>64</v>
      </c>
      <c r="J1093" s="25"/>
      <c r="K1093" s="25"/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 t="s">
        <v>4026</v>
      </c>
      <c r="Y1093" s="25"/>
      <c r="Z1093" s="25"/>
      <c r="AA1093" s="40"/>
      <c r="AB1093" s="40"/>
      <c r="AC1093" s="25" t="str">
        <f>TRIM(StudentScore[[#This Row],[Student Email]])</f>
        <v>poonnaphat.aro@student.mahidol.ac.th</v>
      </c>
    </row>
    <row r="1094" spans="1:29" ht="27">
      <c r="A1094" s="62"/>
      <c r="B1094" s="27">
        <f t="shared" si="56"/>
        <v>66</v>
      </c>
      <c r="C1094" s="27">
        <f t="shared" si="57"/>
        <v>2026</v>
      </c>
      <c r="D1094" s="39"/>
      <c r="E1094" s="19">
        <v>6688170</v>
      </c>
      <c r="F1094" s="20" t="s">
        <v>117</v>
      </c>
      <c r="G1094" s="20" t="s">
        <v>1309</v>
      </c>
      <c r="H1094" s="32" t="s">
        <v>4027</v>
      </c>
      <c r="I1094" s="25" t="s">
        <v>64</v>
      </c>
      <c r="J1094" s="25"/>
      <c r="K1094" s="25"/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 t="s">
        <v>4028</v>
      </c>
      <c r="Y1094" s="25"/>
      <c r="Z1094" s="25"/>
      <c r="AA1094" s="40"/>
      <c r="AB1094" s="40"/>
      <c r="AC1094" s="25" t="str">
        <f>TRIM(StudentScore[[#This Row],[Student Email]])</f>
        <v>natnicha.chw@student.mahidol.ac.th</v>
      </c>
    </row>
    <row r="1095" spans="1:29" ht="27">
      <c r="A1095" s="62"/>
      <c r="B1095" s="27">
        <f t="shared" si="56"/>
        <v>66</v>
      </c>
      <c r="C1095" s="27">
        <f t="shared" si="57"/>
        <v>2026</v>
      </c>
      <c r="D1095" s="39"/>
      <c r="E1095" s="19">
        <v>6688171</v>
      </c>
      <c r="F1095" s="20" t="s">
        <v>117</v>
      </c>
      <c r="G1095" s="20" t="s">
        <v>4029</v>
      </c>
      <c r="H1095" s="32" t="s">
        <v>4030</v>
      </c>
      <c r="I1095" s="25" t="s">
        <v>64</v>
      </c>
      <c r="J1095" s="25"/>
      <c r="K1095" s="25"/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 t="s">
        <v>4031</v>
      </c>
      <c r="Y1095" s="25"/>
      <c r="Z1095" s="25"/>
      <c r="AA1095" s="40"/>
      <c r="AB1095" s="40"/>
      <c r="AC1095" s="25" t="str">
        <f>TRIM(StudentScore[[#This Row],[Student Email]])</f>
        <v>pimchanok.jao@student.mahidol.ac.th</v>
      </c>
    </row>
    <row r="1096" spans="1:29" ht="27">
      <c r="A1096" s="62"/>
      <c r="B1096" s="27">
        <f t="shared" si="56"/>
        <v>66</v>
      </c>
      <c r="C1096" s="27">
        <f t="shared" si="57"/>
        <v>2026</v>
      </c>
      <c r="D1096" s="39"/>
      <c r="E1096" s="19">
        <v>6688172</v>
      </c>
      <c r="F1096" s="20" t="s">
        <v>117</v>
      </c>
      <c r="G1096" s="20" t="s">
        <v>4032</v>
      </c>
      <c r="H1096" s="32" t="s">
        <v>541</v>
      </c>
      <c r="I1096" s="25" t="s">
        <v>64</v>
      </c>
      <c r="J1096" s="25"/>
      <c r="K1096" s="25"/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 t="s">
        <v>4033</v>
      </c>
      <c r="Y1096" s="25"/>
      <c r="Z1096" s="25"/>
      <c r="AA1096" s="40"/>
      <c r="AB1096" s="40"/>
      <c r="AC1096" s="25" t="str">
        <f>TRIM(StudentScore[[#This Row],[Student Email]])</f>
        <v>wirunya.kae@student.mahidol.ac.th</v>
      </c>
    </row>
    <row r="1097" spans="1:29" ht="27">
      <c r="A1097" s="62"/>
      <c r="B1097" s="27">
        <f t="shared" si="56"/>
        <v>66</v>
      </c>
      <c r="C1097" s="27">
        <f t="shared" si="57"/>
        <v>2026</v>
      </c>
      <c r="D1097" s="39"/>
      <c r="E1097" s="19">
        <v>6688173</v>
      </c>
      <c r="F1097" s="20" t="s">
        <v>38</v>
      </c>
      <c r="G1097" s="20" t="s">
        <v>4034</v>
      </c>
      <c r="H1097" s="32" t="s">
        <v>4035</v>
      </c>
      <c r="I1097" s="25" t="s">
        <v>64</v>
      </c>
      <c r="J1097" s="25"/>
      <c r="K1097" s="25"/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 t="s">
        <v>4036</v>
      </c>
      <c r="Y1097" s="25"/>
      <c r="Z1097" s="25"/>
      <c r="AA1097" s="40"/>
      <c r="AB1097" s="40"/>
      <c r="AC1097" s="25" t="str">
        <f>TRIM(StudentScore[[#This Row],[Student Email]])</f>
        <v>passakorn.pib@student.mahidol.ac.th</v>
      </c>
    </row>
    <row r="1098" spans="1:29" ht="27">
      <c r="A1098" s="62"/>
      <c r="B1098" s="27">
        <f t="shared" si="56"/>
        <v>66</v>
      </c>
      <c r="C1098" s="27">
        <f t="shared" si="57"/>
        <v>2026</v>
      </c>
      <c r="D1098" s="39"/>
      <c r="E1098" s="19">
        <v>6688174</v>
      </c>
      <c r="F1098" s="20" t="s">
        <v>38</v>
      </c>
      <c r="G1098" s="20" t="s">
        <v>4037</v>
      </c>
      <c r="H1098" s="32" t="s">
        <v>4038</v>
      </c>
      <c r="I1098" s="25" t="s">
        <v>64</v>
      </c>
      <c r="J1098" s="25"/>
      <c r="K1098" s="25"/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 t="s">
        <v>4039</v>
      </c>
      <c r="Y1098" s="25"/>
      <c r="Z1098" s="25"/>
      <c r="AA1098" s="40"/>
      <c r="AB1098" s="40"/>
      <c r="AC1098" s="25" t="str">
        <f>TRIM(StudentScore[[#This Row],[Student Email]])</f>
        <v>wisanyaphong.tse@student.mahidol.ac.th</v>
      </c>
    </row>
    <row r="1099" spans="1:29" ht="27">
      <c r="A1099" s="62"/>
      <c r="B1099" s="27">
        <f t="shared" si="56"/>
        <v>66</v>
      </c>
      <c r="C1099" s="27">
        <f t="shared" si="57"/>
        <v>2026</v>
      </c>
      <c r="D1099" s="39"/>
      <c r="E1099" s="19">
        <v>6688175</v>
      </c>
      <c r="F1099" s="20" t="s">
        <v>38</v>
      </c>
      <c r="G1099" s="20" t="s">
        <v>4040</v>
      </c>
      <c r="H1099" s="32" t="s">
        <v>4041</v>
      </c>
      <c r="I1099" s="25" t="s">
        <v>64</v>
      </c>
      <c r="J1099" s="25"/>
      <c r="K1099" s="25"/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 t="s">
        <v>4042</v>
      </c>
      <c r="Y1099" s="25"/>
      <c r="Z1099" s="25"/>
      <c r="AA1099" s="40"/>
      <c r="AB1099" s="40"/>
      <c r="AC1099" s="25" t="str">
        <f>TRIM(StudentScore[[#This Row],[Student Email]])</f>
        <v>panatthaphong.yoo@student.mahidol.ac.th</v>
      </c>
    </row>
    <row r="1100" spans="1:29" ht="27">
      <c r="A1100" s="62"/>
      <c r="B1100" s="27">
        <f t="shared" si="56"/>
        <v>66</v>
      </c>
      <c r="C1100" s="27">
        <f t="shared" si="57"/>
        <v>2026</v>
      </c>
      <c r="D1100" s="39"/>
      <c r="E1100" s="19">
        <v>6688176</v>
      </c>
      <c r="F1100" s="20" t="s">
        <v>117</v>
      </c>
      <c r="G1100" s="20" t="s">
        <v>4043</v>
      </c>
      <c r="H1100" s="32" t="s">
        <v>2091</v>
      </c>
      <c r="I1100" s="25" t="s">
        <v>64</v>
      </c>
      <c r="J1100" s="25"/>
      <c r="K1100" s="25"/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 t="s">
        <v>4044</v>
      </c>
      <c r="Y1100" s="25"/>
      <c r="Z1100" s="25"/>
      <c r="AA1100" s="40"/>
      <c r="AB1100" s="40"/>
      <c r="AC1100" s="25" t="str">
        <f>TRIM(StudentScore[[#This Row],[Student Email]])</f>
        <v>yimeng.che@student.mahidol.ac.th</v>
      </c>
    </row>
    <row r="1101" spans="1:29" ht="27">
      <c r="A1101" s="62"/>
      <c r="B1101" s="27">
        <f t="shared" si="56"/>
        <v>66</v>
      </c>
      <c r="C1101" s="27">
        <f t="shared" si="57"/>
        <v>2026</v>
      </c>
      <c r="D1101" s="39"/>
      <c r="E1101" s="19">
        <v>6688178</v>
      </c>
      <c r="F1101" s="20" t="s">
        <v>38</v>
      </c>
      <c r="G1101" s="20" t="s">
        <v>4045</v>
      </c>
      <c r="H1101" s="32" t="s">
        <v>1394</v>
      </c>
      <c r="I1101" s="25" t="s">
        <v>64</v>
      </c>
      <c r="J1101" s="25"/>
      <c r="K1101" s="25"/>
      <c r="L1101" s="25"/>
      <c r="M1101" s="25"/>
      <c r="N1101" s="25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 t="s">
        <v>4046</v>
      </c>
      <c r="Y1101" s="25"/>
      <c r="Z1101" s="25"/>
      <c r="AA1101" s="40"/>
      <c r="AB1101" s="40"/>
      <c r="AC1101" s="25" t="str">
        <f>TRIM(StudentScore[[#This Row],[Student Email]])</f>
        <v>fangyu.liu@student.mahidol.ac.th</v>
      </c>
    </row>
    <row r="1102" spans="1:29" ht="27">
      <c r="A1102" s="62"/>
      <c r="B1102" s="27">
        <f t="shared" si="56"/>
        <v>66</v>
      </c>
      <c r="C1102" s="27">
        <f t="shared" si="57"/>
        <v>2026</v>
      </c>
      <c r="D1102" s="39"/>
      <c r="E1102" s="19">
        <v>6688179</v>
      </c>
      <c r="F1102" s="20" t="s">
        <v>38</v>
      </c>
      <c r="G1102" s="20" t="s">
        <v>4047</v>
      </c>
      <c r="H1102" s="32" t="s">
        <v>4048</v>
      </c>
      <c r="I1102" s="25" t="s">
        <v>64</v>
      </c>
      <c r="J1102" s="25"/>
      <c r="K1102" s="25"/>
      <c r="L1102" s="25"/>
      <c r="M1102" s="25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 t="s">
        <v>4049</v>
      </c>
      <c r="Y1102" s="25"/>
      <c r="Z1102" s="25"/>
      <c r="AA1102" s="40"/>
      <c r="AB1102" s="40"/>
      <c r="AC1102" s="25" t="str">
        <f>TRIM(StudentScore[[#This Row],[Student Email]])</f>
        <v>junrui.mao@student.mahidol.ac.th</v>
      </c>
    </row>
    <row r="1103" spans="1:29" ht="27">
      <c r="A1103" s="62"/>
      <c r="B1103" s="27">
        <f t="shared" si="56"/>
        <v>66</v>
      </c>
      <c r="C1103" s="27">
        <f t="shared" si="57"/>
        <v>2026</v>
      </c>
      <c r="D1103" s="39"/>
      <c r="E1103" s="19">
        <v>6688181</v>
      </c>
      <c r="F1103" s="20" t="s">
        <v>38</v>
      </c>
      <c r="G1103" s="20" t="s">
        <v>4050</v>
      </c>
      <c r="H1103" s="32" t="s">
        <v>1763</v>
      </c>
      <c r="I1103" s="25" t="s">
        <v>64</v>
      </c>
      <c r="J1103" s="25"/>
      <c r="K1103" s="25"/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 t="s">
        <v>4051</v>
      </c>
      <c r="Y1103" s="25"/>
      <c r="Z1103" s="25"/>
      <c r="AA1103" s="40"/>
      <c r="AB1103" s="40"/>
      <c r="AC1103" s="25" t="str">
        <f>TRIM(StudentScore[[#This Row],[Student Email]])</f>
        <v>taixiang.xu@student.mahidol.ac.th</v>
      </c>
    </row>
    <row r="1104" spans="1:29" ht="27">
      <c r="A1104" s="62"/>
      <c r="B1104" s="27">
        <f t="shared" si="56"/>
        <v>66</v>
      </c>
      <c r="C1104" s="27">
        <f t="shared" si="57"/>
        <v>2026</v>
      </c>
      <c r="D1104" s="39"/>
      <c r="E1104" s="19">
        <v>6688182</v>
      </c>
      <c r="F1104" s="20" t="s">
        <v>38</v>
      </c>
      <c r="G1104" s="20" t="s">
        <v>4052</v>
      </c>
      <c r="H1104" s="32" t="s">
        <v>1427</v>
      </c>
      <c r="I1104" s="25" t="s">
        <v>64</v>
      </c>
      <c r="J1104" s="25"/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 t="s">
        <v>4053</v>
      </c>
      <c r="Y1104" s="25"/>
      <c r="Z1104" s="25"/>
      <c r="AA1104" s="40"/>
      <c r="AB1104" s="40"/>
      <c r="AC1104" s="25" t="str">
        <f>TRIM(StudentScore[[#This Row],[Student Email]])</f>
        <v>hongyu.zho@student.mahidol.ac.th</v>
      </c>
    </row>
    <row r="1105" spans="1:29" ht="27">
      <c r="A1105" s="62"/>
      <c r="B1105" s="27">
        <f t="shared" si="56"/>
        <v>66</v>
      </c>
      <c r="C1105" s="27">
        <f t="shared" si="57"/>
        <v>2026</v>
      </c>
      <c r="D1105" s="39"/>
      <c r="E1105" s="19">
        <v>6688183</v>
      </c>
      <c r="F1105" s="20" t="s">
        <v>117</v>
      </c>
      <c r="G1105" s="20" t="s">
        <v>4054</v>
      </c>
      <c r="H1105" s="32" t="s">
        <v>4055</v>
      </c>
      <c r="I1105" s="25" t="s">
        <v>64</v>
      </c>
      <c r="J1105" s="25"/>
      <c r="K1105" s="25"/>
      <c r="L1105" s="25"/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 t="s">
        <v>4056</v>
      </c>
      <c r="Y1105" s="25"/>
      <c r="Z1105" s="25"/>
      <c r="AA1105" s="40"/>
      <c r="AB1105" s="40"/>
      <c r="AC1105" s="25" t="str">
        <f>TRIM(StudentScore[[#This Row],[Student Email]])</f>
        <v>zirui.zhu@student.mahidol.ac.th</v>
      </c>
    </row>
    <row r="1106" spans="1:29" ht="27">
      <c r="A1106" s="62"/>
      <c r="B1106" s="27">
        <f t="shared" si="56"/>
        <v>66</v>
      </c>
      <c r="C1106" s="27">
        <f t="shared" si="57"/>
        <v>2026</v>
      </c>
      <c r="D1106" s="39"/>
      <c r="E1106" s="19">
        <v>6688184</v>
      </c>
      <c r="F1106" s="20" t="s">
        <v>38</v>
      </c>
      <c r="G1106" s="20" t="s">
        <v>4057</v>
      </c>
      <c r="H1106" s="32" t="s">
        <v>4058</v>
      </c>
      <c r="I1106" s="25" t="s">
        <v>64</v>
      </c>
      <c r="J1106" s="25"/>
      <c r="K1106" s="25"/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 t="s">
        <v>4059</v>
      </c>
      <c r="Y1106" s="25"/>
      <c r="Z1106" s="25"/>
      <c r="AA1106" s="40"/>
      <c r="AB1106" s="40"/>
      <c r="AC1106" s="25" t="str">
        <f>TRIM(StudentScore[[#This Row],[Student Email]])</f>
        <v>vasuphon.boo@student.mahidol.ac.th</v>
      </c>
    </row>
    <row r="1107" spans="1:29" ht="27">
      <c r="A1107" s="62"/>
      <c r="B1107" s="27">
        <f t="shared" si="56"/>
        <v>66</v>
      </c>
      <c r="C1107" s="27">
        <f t="shared" si="57"/>
        <v>2026</v>
      </c>
      <c r="D1107" s="39"/>
      <c r="E1107" s="19">
        <v>6688185</v>
      </c>
      <c r="F1107" s="20" t="s">
        <v>117</v>
      </c>
      <c r="G1107" s="20" t="s">
        <v>4060</v>
      </c>
      <c r="H1107" s="32" t="s">
        <v>4061</v>
      </c>
      <c r="I1107" s="25" t="s">
        <v>64</v>
      </c>
      <c r="J1107" s="25"/>
      <c r="K1107" s="25"/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 t="s">
        <v>4062</v>
      </c>
      <c r="Y1107" s="25"/>
      <c r="Z1107" s="25"/>
      <c r="AA1107" s="40"/>
      <c r="AB1107" s="40"/>
      <c r="AC1107" s="25" t="str">
        <f>TRIM(StudentScore[[#This Row],[Student Email]])</f>
        <v>praewtip.boo@student.mahidol.ac.th</v>
      </c>
    </row>
    <row r="1108" spans="1:29" ht="27">
      <c r="A1108" s="62"/>
      <c r="B1108" s="27">
        <f t="shared" si="56"/>
        <v>66</v>
      </c>
      <c r="C1108" s="27">
        <f t="shared" si="57"/>
        <v>2026</v>
      </c>
      <c r="D1108" s="39"/>
      <c r="E1108" s="19">
        <v>6688186</v>
      </c>
      <c r="F1108" s="20" t="s">
        <v>38</v>
      </c>
      <c r="G1108" s="20" t="s">
        <v>4063</v>
      </c>
      <c r="H1108" s="32" t="s">
        <v>4064</v>
      </c>
      <c r="I1108" s="25" t="s">
        <v>64</v>
      </c>
      <c r="J1108" s="25"/>
      <c r="K1108" s="25"/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 t="s">
        <v>4065</v>
      </c>
      <c r="Y1108" s="25"/>
      <c r="Z1108" s="25"/>
      <c r="AA1108" s="40"/>
      <c r="AB1108" s="40"/>
      <c r="AC1108" s="25" t="str">
        <f>TRIM(StudentScore[[#This Row],[Student Email]])</f>
        <v>chaiteeranan.bun@student.mahidol.ac.th</v>
      </c>
    </row>
    <row r="1109" spans="1:29" ht="27">
      <c r="A1109" s="62"/>
      <c r="B1109" s="27">
        <f t="shared" si="56"/>
        <v>66</v>
      </c>
      <c r="C1109" s="27">
        <f t="shared" si="57"/>
        <v>2026</v>
      </c>
      <c r="D1109" s="39"/>
      <c r="E1109" s="19">
        <v>6688187</v>
      </c>
      <c r="F1109" s="20" t="s">
        <v>38</v>
      </c>
      <c r="G1109" s="20" t="s">
        <v>1187</v>
      </c>
      <c r="H1109" s="32" t="s">
        <v>4066</v>
      </c>
      <c r="I1109" s="25" t="s">
        <v>64</v>
      </c>
      <c r="J1109" s="25"/>
      <c r="K1109" s="25"/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 t="s">
        <v>4067</v>
      </c>
      <c r="Y1109" s="25"/>
      <c r="Z1109" s="25"/>
      <c r="AA1109" s="40"/>
      <c r="AB1109" s="40"/>
      <c r="AC1109" s="25" t="str">
        <f>TRIM(StudentScore[[#This Row],[Student Email]])</f>
        <v>chayaphol.chd@student.mahidol.ac.th</v>
      </c>
    </row>
    <row r="1110" spans="1:29" ht="27">
      <c r="A1110" s="62"/>
      <c r="B1110" s="27">
        <f t="shared" si="56"/>
        <v>66</v>
      </c>
      <c r="C1110" s="27">
        <f t="shared" si="57"/>
        <v>2026</v>
      </c>
      <c r="D1110" s="39"/>
      <c r="E1110" s="19">
        <v>6688188</v>
      </c>
      <c r="F1110" s="20" t="s">
        <v>117</v>
      </c>
      <c r="G1110" s="20" t="s">
        <v>4068</v>
      </c>
      <c r="H1110" s="32" t="s">
        <v>4069</v>
      </c>
      <c r="I1110" s="25" t="s">
        <v>64</v>
      </c>
      <c r="J1110" s="25"/>
      <c r="K1110" s="25"/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 t="s">
        <v>4070</v>
      </c>
      <c r="Y1110" s="25"/>
      <c r="Z1110" s="25"/>
      <c r="AA1110" s="40"/>
      <c r="AB1110" s="40"/>
      <c r="AC1110" s="25" t="str">
        <f>TRIM(StudentScore[[#This Row],[Student Email]])</f>
        <v>thanaphon.chn@student.mahidol.ac.th</v>
      </c>
    </row>
    <row r="1111" spans="1:29" ht="27">
      <c r="A1111" s="62"/>
      <c r="B1111" s="27">
        <f t="shared" si="56"/>
        <v>66</v>
      </c>
      <c r="C1111" s="27">
        <f t="shared" si="57"/>
        <v>2026</v>
      </c>
      <c r="D1111" s="39"/>
      <c r="E1111" s="19">
        <v>6688190</v>
      </c>
      <c r="F1111" s="20" t="s">
        <v>117</v>
      </c>
      <c r="G1111" s="20" t="s">
        <v>4071</v>
      </c>
      <c r="H1111" s="32" t="s">
        <v>4072</v>
      </c>
      <c r="I1111" s="25" t="s">
        <v>64</v>
      </c>
      <c r="J1111" s="25"/>
      <c r="K1111" s="25"/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 t="s">
        <v>4073</v>
      </c>
      <c r="Y1111" s="25"/>
      <c r="Z1111" s="25"/>
      <c r="AA1111" s="40"/>
      <c r="AB1111" s="40"/>
      <c r="AC1111" s="25" t="str">
        <f>TRIM(StudentScore[[#This Row],[Student Email]])</f>
        <v>wimonwan.hen@student.mahidol.ac.th</v>
      </c>
    </row>
    <row r="1112" spans="1:29" ht="27">
      <c r="A1112" s="62"/>
      <c r="B1112" s="27">
        <f t="shared" si="56"/>
        <v>66</v>
      </c>
      <c r="C1112" s="27">
        <f t="shared" si="57"/>
        <v>2026</v>
      </c>
      <c r="D1112" s="39"/>
      <c r="E1112" s="19">
        <v>6688191</v>
      </c>
      <c r="F1112" s="20" t="s">
        <v>117</v>
      </c>
      <c r="G1112" s="20" t="s">
        <v>4074</v>
      </c>
      <c r="H1112" s="32" t="s">
        <v>4075</v>
      </c>
      <c r="I1112" s="25" t="s">
        <v>64</v>
      </c>
      <c r="J1112" s="25"/>
      <c r="K1112" s="25"/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 t="s">
        <v>4076</v>
      </c>
      <c r="Y1112" s="25"/>
      <c r="Z1112" s="25"/>
      <c r="AA1112" s="40"/>
      <c r="AB1112" s="40"/>
      <c r="AC1112" s="25" t="str">
        <f>TRIM(StudentScore[[#This Row],[Student Email]])</f>
        <v>kittiyakarn.kae@student.mahidol.ac.th</v>
      </c>
    </row>
    <row r="1113" spans="1:29" ht="27">
      <c r="A1113" s="62"/>
      <c r="B1113" s="27">
        <f t="shared" si="56"/>
        <v>66</v>
      </c>
      <c r="C1113" s="27">
        <f t="shared" si="57"/>
        <v>2026</v>
      </c>
      <c r="D1113" s="39"/>
      <c r="E1113" s="19">
        <v>6688192</v>
      </c>
      <c r="F1113" s="20" t="s">
        <v>38</v>
      </c>
      <c r="G1113" s="20" t="s">
        <v>4077</v>
      </c>
      <c r="H1113" s="32" t="s">
        <v>4078</v>
      </c>
      <c r="I1113" s="25" t="s">
        <v>64</v>
      </c>
      <c r="J1113" s="25"/>
      <c r="K1113" s="25"/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 t="s">
        <v>4079</v>
      </c>
      <c r="Y1113" s="25"/>
      <c r="Z1113" s="25"/>
      <c r="AA1113" s="40"/>
      <c r="AB1113" s="40"/>
      <c r="AC1113" s="25" t="str">
        <f>TRIM(StudentScore[[#This Row],[Student Email]])</f>
        <v>nutchasan.kae@student.mahidol.ac.th</v>
      </c>
    </row>
    <row r="1114" spans="1:29" ht="27">
      <c r="A1114" s="62"/>
      <c r="B1114" s="27">
        <f t="shared" si="56"/>
        <v>66</v>
      </c>
      <c r="C1114" s="27">
        <f t="shared" si="57"/>
        <v>2026</v>
      </c>
      <c r="D1114" s="39"/>
      <c r="E1114" s="19">
        <v>6688193</v>
      </c>
      <c r="F1114" s="20" t="s">
        <v>38</v>
      </c>
      <c r="G1114" s="20" t="s">
        <v>4080</v>
      </c>
      <c r="H1114" s="32" t="s">
        <v>4081</v>
      </c>
      <c r="I1114" s="25" t="s">
        <v>64</v>
      </c>
      <c r="J1114" s="25"/>
      <c r="K1114" s="25"/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 t="s">
        <v>4082</v>
      </c>
      <c r="Y1114" s="25"/>
      <c r="Z1114" s="25"/>
      <c r="AA1114" s="40"/>
      <c r="AB1114" s="40"/>
      <c r="AC1114" s="25" t="str">
        <f>TRIM(StudentScore[[#This Row],[Student Email]])</f>
        <v>atichat.kan@student.mahidol.ac.th</v>
      </c>
    </row>
    <row r="1115" spans="1:29" ht="27">
      <c r="A1115" s="62"/>
      <c r="B1115" s="27">
        <f t="shared" si="56"/>
        <v>66</v>
      </c>
      <c r="C1115" s="27">
        <f t="shared" si="57"/>
        <v>2026</v>
      </c>
      <c r="D1115" s="39"/>
      <c r="E1115" s="19">
        <v>6688194</v>
      </c>
      <c r="F1115" s="20" t="s">
        <v>38</v>
      </c>
      <c r="G1115" s="20" t="s">
        <v>4083</v>
      </c>
      <c r="H1115" s="32" t="s">
        <v>4084</v>
      </c>
      <c r="I1115" s="25" t="s">
        <v>64</v>
      </c>
      <c r="J1115" s="25"/>
      <c r="K1115" s="25"/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 t="s">
        <v>4085</v>
      </c>
      <c r="Y1115" s="25"/>
      <c r="Z1115" s="25"/>
      <c r="AA1115" s="40"/>
      <c r="AB1115" s="40"/>
      <c r="AC1115" s="25" t="str">
        <f>TRIM(StudentScore[[#This Row],[Student Email]])</f>
        <v>muhummadcharif.kap@student.mahidol.ac.th</v>
      </c>
    </row>
    <row r="1116" spans="1:29" ht="27">
      <c r="A1116" s="62"/>
      <c r="B1116" s="27">
        <f t="shared" si="56"/>
        <v>66</v>
      </c>
      <c r="C1116" s="27">
        <f t="shared" si="57"/>
        <v>2026</v>
      </c>
      <c r="D1116" s="39"/>
      <c r="E1116" s="19">
        <v>6688195</v>
      </c>
      <c r="F1116" s="20" t="s">
        <v>38</v>
      </c>
      <c r="G1116" s="20" t="s">
        <v>4086</v>
      </c>
      <c r="H1116" s="32" t="s">
        <v>4087</v>
      </c>
      <c r="I1116" s="25" t="s">
        <v>64</v>
      </c>
      <c r="J1116" s="25"/>
      <c r="K1116" s="25"/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 t="s">
        <v>4088</v>
      </c>
      <c r="Y1116" s="25"/>
      <c r="Z1116" s="25"/>
      <c r="AA1116" s="40"/>
      <c r="AB1116" s="40"/>
      <c r="AC1116" s="25" t="str">
        <f>TRIM(StudentScore[[#This Row],[Student Email]])</f>
        <v>kamol.kha@student.mahidol.ac.th</v>
      </c>
    </row>
    <row r="1117" spans="1:29" ht="27">
      <c r="A1117" s="62"/>
      <c r="B1117" s="27">
        <f t="shared" si="56"/>
        <v>66</v>
      </c>
      <c r="C1117" s="27">
        <f t="shared" si="57"/>
        <v>2026</v>
      </c>
      <c r="D1117" s="39"/>
      <c r="E1117" s="19">
        <v>6688196</v>
      </c>
      <c r="F1117" s="20" t="s">
        <v>38</v>
      </c>
      <c r="G1117" s="20" t="s">
        <v>4089</v>
      </c>
      <c r="H1117" s="32" t="s">
        <v>4090</v>
      </c>
      <c r="I1117" s="25" t="s">
        <v>64</v>
      </c>
      <c r="J1117" s="25"/>
      <c r="K1117" s="25"/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 t="s">
        <v>4091</v>
      </c>
      <c r="Y1117" s="25"/>
      <c r="Z1117" s="25"/>
      <c r="AA1117" s="40"/>
      <c r="AB1117" s="40"/>
      <c r="AC1117" s="25" t="str">
        <f>TRIM(StudentScore[[#This Row],[Student Email]])</f>
        <v>nuttakit.kri@student.mahidol.ac.th</v>
      </c>
    </row>
    <row r="1118" spans="1:29" ht="27">
      <c r="A1118" s="62"/>
      <c r="B1118" s="27">
        <f t="shared" si="56"/>
        <v>66</v>
      </c>
      <c r="C1118" s="27">
        <f t="shared" si="57"/>
        <v>2026</v>
      </c>
      <c r="D1118" s="39"/>
      <c r="E1118" s="19">
        <v>6688197</v>
      </c>
      <c r="F1118" s="20" t="s">
        <v>117</v>
      </c>
      <c r="G1118" s="20" t="s">
        <v>4092</v>
      </c>
      <c r="H1118" s="32" t="s">
        <v>4093</v>
      </c>
      <c r="I1118" s="25" t="s">
        <v>64</v>
      </c>
      <c r="J1118" s="25"/>
      <c r="K1118" s="25"/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 t="s">
        <v>4094</v>
      </c>
      <c r="Y1118" s="25"/>
      <c r="Z1118" s="25"/>
      <c r="AA1118" s="40"/>
      <c r="AB1118" s="40"/>
      <c r="AC1118" s="25" t="str">
        <f>TRIM(StudentScore[[#This Row],[Student Email]])</f>
        <v>pattarawadee.kun@student.mahidol.ac.th</v>
      </c>
    </row>
    <row r="1119" spans="1:29" ht="27">
      <c r="A1119" s="62"/>
      <c r="B1119" s="27">
        <f t="shared" si="56"/>
        <v>66</v>
      </c>
      <c r="C1119" s="27">
        <f t="shared" si="57"/>
        <v>2026</v>
      </c>
      <c r="D1119" s="39"/>
      <c r="E1119" s="19">
        <v>6688198</v>
      </c>
      <c r="F1119" s="20" t="s">
        <v>38</v>
      </c>
      <c r="G1119" s="20" t="s">
        <v>4095</v>
      </c>
      <c r="H1119" s="32" t="s">
        <v>4096</v>
      </c>
      <c r="I1119" s="25" t="s">
        <v>64</v>
      </c>
      <c r="J1119" s="25"/>
      <c r="K1119" s="25"/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 t="s">
        <v>4097</v>
      </c>
      <c r="Y1119" s="25"/>
      <c r="Z1119" s="25"/>
      <c r="AA1119" s="40"/>
      <c r="AB1119" s="40"/>
      <c r="AC1119" s="25" t="str">
        <f>TRIM(StudentScore[[#This Row],[Student Email]])</f>
        <v>teeratat.kun@student.mahidol.ac.th</v>
      </c>
    </row>
    <row r="1120" spans="1:29" ht="27">
      <c r="A1120" s="62"/>
      <c r="B1120" s="27">
        <f t="shared" si="56"/>
        <v>66</v>
      </c>
      <c r="C1120" s="27">
        <f t="shared" si="57"/>
        <v>2026</v>
      </c>
      <c r="D1120" s="39"/>
      <c r="E1120" s="19">
        <v>6688199</v>
      </c>
      <c r="F1120" s="20" t="s">
        <v>117</v>
      </c>
      <c r="G1120" s="20" t="s">
        <v>234</v>
      </c>
      <c r="H1120" s="32" t="s">
        <v>4098</v>
      </c>
      <c r="I1120" s="25" t="s">
        <v>64</v>
      </c>
      <c r="J1120" s="25"/>
      <c r="K1120" s="25"/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 t="s">
        <v>4099</v>
      </c>
      <c r="Y1120" s="25"/>
      <c r="Z1120" s="25"/>
      <c r="AA1120" s="40"/>
      <c r="AB1120" s="40"/>
      <c r="AC1120" s="25" t="str">
        <f>TRIM(StudentScore[[#This Row],[Student Email]])</f>
        <v>thanyarat.law@student.mahidol.ac.th</v>
      </c>
    </row>
    <row r="1121" spans="1:29" ht="27">
      <c r="A1121" s="62"/>
      <c r="B1121" s="27">
        <f t="shared" si="56"/>
        <v>66</v>
      </c>
      <c r="C1121" s="27">
        <f t="shared" si="57"/>
        <v>2026</v>
      </c>
      <c r="D1121" s="39"/>
      <c r="E1121" s="19">
        <v>6688200</v>
      </c>
      <c r="F1121" s="20" t="s">
        <v>117</v>
      </c>
      <c r="G1121" s="20" t="s">
        <v>4100</v>
      </c>
      <c r="H1121" s="32" t="s">
        <v>4101</v>
      </c>
      <c r="I1121" s="25" t="s">
        <v>64</v>
      </c>
      <c r="J1121" s="25"/>
      <c r="K1121" s="25"/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 t="s">
        <v>4102</v>
      </c>
      <c r="Y1121" s="25"/>
      <c r="Z1121" s="25"/>
      <c r="AA1121" s="40"/>
      <c r="AB1121" s="40"/>
      <c r="AC1121" s="25" t="str">
        <f>TRIM(StudentScore[[#This Row],[Student Email]])</f>
        <v>siriluck.maa@student.mahidol.ac.th</v>
      </c>
    </row>
    <row r="1122" spans="1:29" ht="27">
      <c r="A1122" s="62"/>
      <c r="B1122" s="27">
        <f t="shared" si="56"/>
        <v>66</v>
      </c>
      <c r="C1122" s="27">
        <f t="shared" si="57"/>
        <v>2026</v>
      </c>
      <c r="D1122" s="39"/>
      <c r="E1122" s="19">
        <v>6688201</v>
      </c>
      <c r="F1122" s="20" t="s">
        <v>117</v>
      </c>
      <c r="G1122" s="20" t="s">
        <v>4103</v>
      </c>
      <c r="H1122" s="32" t="s">
        <v>4104</v>
      </c>
      <c r="I1122" s="25" t="s">
        <v>64</v>
      </c>
      <c r="J1122" s="25"/>
      <c r="K1122" s="25"/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 t="s">
        <v>4105</v>
      </c>
      <c r="Y1122" s="25"/>
      <c r="Z1122" s="25"/>
      <c r="AA1122" s="40"/>
      <c r="AB1122" s="40"/>
      <c r="AC1122" s="25" t="str">
        <f>TRIM(StudentScore[[#This Row],[Student Email]])</f>
        <v>narmeen.mas@student.mahidol.ac.th</v>
      </c>
    </row>
    <row r="1123" spans="1:29" ht="27">
      <c r="A1123" s="62"/>
      <c r="B1123" s="27">
        <f t="shared" si="56"/>
        <v>66</v>
      </c>
      <c r="C1123" s="27">
        <f t="shared" si="57"/>
        <v>2026</v>
      </c>
      <c r="D1123" s="39"/>
      <c r="E1123" s="19">
        <v>6688202</v>
      </c>
      <c r="F1123" s="20" t="s">
        <v>38</v>
      </c>
      <c r="G1123" s="20" t="s">
        <v>4106</v>
      </c>
      <c r="H1123" s="32" t="s">
        <v>4107</v>
      </c>
      <c r="I1123" s="25" t="s">
        <v>64</v>
      </c>
      <c r="J1123" s="25"/>
      <c r="K1123" s="25"/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 t="s">
        <v>4108</v>
      </c>
      <c r="Y1123" s="25"/>
      <c r="Z1123" s="25"/>
      <c r="AA1123" s="40"/>
      <c r="AB1123" s="40"/>
      <c r="AC1123" s="25" t="str">
        <f>TRIM(StudentScore[[#This Row],[Student Email]])</f>
        <v>phonlapoj.mat@student.mahidol.ac.th</v>
      </c>
    </row>
    <row r="1124" spans="1:29" ht="27">
      <c r="A1124" s="62"/>
      <c r="B1124" s="27">
        <f t="shared" si="56"/>
        <v>66</v>
      </c>
      <c r="C1124" s="27">
        <f t="shared" si="57"/>
        <v>2026</v>
      </c>
      <c r="D1124" s="39"/>
      <c r="E1124" s="19">
        <v>6688203</v>
      </c>
      <c r="F1124" s="20" t="s">
        <v>38</v>
      </c>
      <c r="G1124" s="20" t="s">
        <v>4109</v>
      </c>
      <c r="H1124" s="32" t="s">
        <v>4110</v>
      </c>
      <c r="I1124" s="25" t="s">
        <v>64</v>
      </c>
      <c r="J1124" s="25"/>
      <c r="K1124" s="25"/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 t="s">
        <v>4111</v>
      </c>
      <c r="Y1124" s="25"/>
      <c r="Z1124" s="25"/>
      <c r="AA1124" s="40"/>
      <c r="AB1124" s="40"/>
      <c r="AC1124" s="25" t="str">
        <f>TRIM(StudentScore[[#This Row],[Student Email]])</f>
        <v>chanpum.mee@student.mahidol.ac.th</v>
      </c>
    </row>
    <row r="1125" spans="1:29" ht="27">
      <c r="A1125" s="62"/>
      <c r="B1125" s="27">
        <f t="shared" si="56"/>
        <v>66</v>
      </c>
      <c r="C1125" s="27">
        <f t="shared" si="57"/>
        <v>2026</v>
      </c>
      <c r="D1125" s="39"/>
      <c r="E1125" s="19">
        <v>6688204</v>
      </c>
      <c r="F1125" s="20" t="s">
        <v>38</v>
      </c>
      <c r="G1125" s="20" t="s">
        <v>4112</v>
      </c>
      <c r="H1125" s="32" t="s">
        <v>4113</v>
      </c>
      <c r="I1125" s="25" t="s">
        <v>64</v>
      </c>
      <c r="J1125" s="25"/>
      <c r="K1125" s="25"/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 t="s">
        <v>4114</v>
      </c>
      <c r="Y1125" s="25"/>
      <c r="Z1125" s="25"/>
      <c r="AA1125" s="40"/>
      <c r="AB1125" s="40"/>
      <c r="AC1125" s="25" t="str">
        <f>TRIM(StudentScore[[#This Row],[Student Email]])</f>
        <v>chawanwit.ngu@student.mahidol.ac.th</v>
      </c>
    </row>
    <row r="1126" spans="1:29" ht="27">
      <c r="A1126" s="62"/>
      <c r="B1126" s="27">
        <f t="shared" ref="B1126:B1164" si="58">VALUE(LEFT(E1126,2))</f>
        <v>66</v>
      </c>
      <c r="C1126" s="27">
        <f t="shared" ref="C1126:C1164" si="59">VALUE("25"&amp;B1126)-543+3</f>
        <v>2026</v>
      </c>
      <c r="D1126" s="39"/>
      <c r="E1126" s="19">
        <v>6688205</v>
      </c>
      <c r="F1126" s="20" t="s">
        <v>38</v>
      </c>
      <c r="G1126" s="20" t="s">
        <v>4115</v>
      </c>
      <c r="H1126" s="32" t="s">
        <v>4116</v>
      </c>
      <c r="I1126" s="25" t="s">
        <v>64</v>
      </c>
      <c r="J1126" s="25"/>
      <c r="K1126" s="25"/>
      <c r="L1126" s="25"/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 t="s">
        <v>4117</v>
      </c>
      <c r="Y1126" s="25"/>
      <c r="Z1126" s="25"/>
      <c r="AA1126" s="40"/>
      <c r="AB1126" s="40"/>
      <c r="AC1126" s="25" t="str">
        <f>TRIM(StudentScore[[#This Row],[Student Email]])</f>
        <v>sirawit.noo@student.mahidol.ac.th</v>
      </c>
    </row>
    <row r="1127" spans="1:29" ht="27">
      <c r="A1127" s="62"/>
      <c r="B1127" s="27">
        <f t="shared" si="58"/>
        <v>66</v>
      </c>
      <c r="C1127" s="27">
        <f t="shared" si="59"/>
        <v>2026</v>
      </c>
      <c r="D1127" s="39"/>
      <c r="E1127" s="19">
        <v>6688206</v>
      </c>
      <c r="F1127" s="20" t="s">
        <v>38</v>
      </c>
      <c r="G1127" s="20" t="s">
        <v>4118</v>
      </c>
      <c r="H1127" s="32" t="s">
        <v>4119</v>
      </c>
      <c r="I1127" s="25" t="s">
        <v>64</v>
      </c>
      <c r="J1127" s="25"/>
      <c r="K1127" s="25"/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 t="s">
        <v>4120</v>
      </c>
      <c r="Y1127" s="25"/>
      <c r="Z1127" s="25"/>
      <c r="AA1127" s="40"/>
      <c r="AB1127" s="40"/>
      <c r="AC1127" s="25" t="str">
        <f>TRIM(StudentScore[[#This Row],[Student Email]])</f>
        <v>rittipak.pak@student.mahidol.ac.th</v>
      </c>
    </row>
    <row r="1128" spans="1:29" ht="27">
      <c r="A1128" s="62"/>
      <c r="B1128" s="27">
        <f t="shared" si="58"/>
        <v>66</v>
      </c>
      <c r="C1128" s="27">
        <f t="shared" si="59"/>
        <v>2026</v>
      </c>
      <c r="D1128" s="39"/>
      <c r="E1128" s="19">
        <v>6688207</v>
      </c>
      <c r="F1128" s="20" t="s">
        <v>117</v>
      </c>
      <c r="G1128" s="20" t="s">
        <v>4121</v>
      </c>
      <c r="H1128" s="32" t="s">
        <v>4122</v>
      </c>
      <c r="I1128" s="25" t="s">
        <v>64</v>
      </c>
      <c r="J1128" s="25"/>
      <c r="K1128" s="25"/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 t="s">
        <v>4123</v>
      </c>
      <c r="Y1128" s="25"/>
      <c r="Z1128" s="25"/>
      <c r="AA1128" s="40"/>
      <c r="AB1128" s="40"/>
      <c r="AC1128" s="25" t="str">
        <f>TRIM(StudentScore[[#This Row],[Student Email]])</f>
        <v>thanyakarn.pan@student.mahidol.ac.th</v>
      </c>
    </row>
    <row r="1129" spans="1:29" ht="27">
      <c r="A1129" s="62"/>
      <c r="B1129" s="27">
        <f t="shared" si="58"/>
        <v>66</v>
      </c>
      <c r="C1129" s="27">
        <f t="shared" si="59"/>
        <v>2026</v>
      </c>
      <c r="D1129" s="39"/>
      <c r="E1129" s="19">
        <v>6688208</v>
      </c>
      <c r="F1129" s="20" t="s">
        <v>38</v>
      </c>
      <c r="G1129" s="20" t="s">
        <v>4124</v>
      </c>
      <c r="H1129" s="32" t="s">
        <v>4125</v>
      </c>
      <c r="I1129" s="25" t="s">
        <v>64</v>
      </c>
      <c r="J1129" s="25"/>
      <c r="K1129" s="25"/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 t="s">
        <v>4126</v>
      </c>
      <c r="Y1129" s="25"/>
      <c r="Z1129" s="25"/>
      <c r="AA1129" s="40"/>
      <c r="AB1129" s="40"/>
      <c r="AC1129" s="25" t="str">
        <f>TRIM(StudentScore[[#This Row],[Student Email]])</f>
        <v>supachoke.pet@student.mahidol.ac.th</v>
      </c>
    </row>
    <row r="1130" spans="1:29" ht="27">
      <c r="A1130" s="62"/>
      <c r="B1130" s="27">
        <f t="shared" si="58"/>
        <v>66</v>
      </c>
      <c r="C1130" s="27">
        <f t="shared" si="59"/>
        <v>2026</v>
      </c>
      <c r="D1130" s="39"/>
      <c r="E1130" s="19">
        <v>6688209</v>
      </c>
      <c r="F1130" s="20" t="s">
        <v>117</v>
      </c>
      <c r="G1130" s="20" t="s">
        <v>4127</v>
      </c>
      <c r="H1130" s="32" t="s">
        <v>4128</v>
      </c>
      <c r="I1130" s="25" t="s">
        <v>64</v>
      </c>
      <c r="J1130" s="25"/>
      <c r="K1130" s="25"/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 t="s">
        <v>4129</v>
      </c>
      <c r="Y1130" s="25"/>
      <c r="Z1130" s="25"/>
      <c r="AA1130" s="40"/>
      <c r="AB1130" s="40"/>
      <c r="AC1130" s="25" t="str">
        <f>TRIM(StudentScore[[#This Row],[Student Email]])</f>
        <v>poschapat.phe@student.mahidol.ac.th</v>
      </c>
    </row>
    <row r="1131" spans="1:29" ht="27">
      <c r="A1131" s="62"/>
      <c r="B1131" s="27">
        <f t="shared" si="58"/>
        <v>66</v>
      </c>
      <c r="C1131" s="27">
        <f t="shared" si="59"/>
        <v>2026</v>
      </c>
      <c r="D1131" s="39"/>
      <c r="E1131" s="19">
        <v>6688210</v>
      </c>
      <c r="F1131" s="20" t="s">
        <v>117</v>
      </c>
      <c r="G1131" s="20" t="s">
        <v>176</v>
      </c>
      <c r="H1131" s="32" t="s">
        <v>4130</v>
      </c>
      <c r="I1131" s="25" t="s">
        <v>64</v>
      </c>
      <c r="J1131" s="25"/>
      <c r="K1131" s="25"/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 t="s">
        <v>4131</v>
      </c>
      <c r="Y1131" s="25"/>
      <c r="Z1131" s="25"/>
      <c r="AA1131" s="40"/>
      <c r="AB1131" s="40"/>
      <c r="AC1131" s="25" t="str">
        <f>TRIM(StudentScore[[#This Row],[Student Email]])</f>
        <v>thanaporn.pis@student.mahidol.ac.th</v>
      </c>
    </row>
    <row r="1132" spans="1:29" ht="27">
      <c r="A1132" s="62"/>
      <c r="B1132" s="27">
        <f t="shared" si="58"/>
        <v>66</v>
      </c>
      <c r="C1132" s="27">
        <f t="shared" si="59"/>
        <v>2026</v>
      </c>
      <c r="D1132" s="39"/>
      <c r="E1132" s="19">
        <v>6688211</v>
      </c>
      <c r="F1132" s="20" t="s">
        <v>38</v>
      </c>
      <c r="G1132" s="20" t="s">
        <v>4132</v>
      </c>
      <c r="H1132" s="32" t="s">
        <v>4133</v>
      </c>
      <c r="I1132" s="25" t="s">
        <v>64</v>
      </c>
      <c r="J1132" s="25"/>
      <c r="K1132" s="25"/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 t="s">
        <v>4134</v>
      </c>
      <c r="Y1132" s="25"/>
      <c r="Z1132" s="25"/>
      <c r="AA1132" s="40"/>
      <c r="AB1132" s="40"/>
      <c r="AC1132" s="25" t="str">
        <f>TRIM(StudentScore[[#This Row],[Student Email]])</f>
        <v>witiwat.piy@student.mahidol.ac.th</v>
      </c>
    </row>
    <row r="1133" spans="1:29" ht="27">
      <c r="A1133" s="62"/>
      <c r="B1133" s="27">
        <f t="shared" si="58"/>
        <v>66</v>
      </c>
      <c r="C1133" s="27">
        <f t="shared" si="59"/>
        <v>2026</v>
      </c>
      <c r="D1133" s="39"/>
      <c r="E1133" s="19">
        <v>6688212</v>
      </c>
      <c r="F1133" s="20" t="s">
        <v>117</v>
      </c>
      <c r="G1133" s="20" t="s">
        <v>4135</v>
      </c>
      <c r="H1133" s="32" t="s">
        <v>4136</v>
      </c>
      <c r="I1133" s="25" t="s">
        <v>64</v>
      </c>
      <c r="J1133" s="25"/>
      <c r="K1133" s="25"/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 t="s">
        <v>4137</v>
      </c>
      <c r="Y1133" s="25"/>
      <c r="Z1133" s="25"/>
      <c r="AA1133" s="40"/>
      <c r="AB1133" s="40"/>
      <c r="AC1133" s="25" t="str">
        <f>TRIM(StudentScore[[#This Row],[Student Email]])</f>
        <v>natpapavee.pra@student.mahidol.ac.th</v>
      </c>
    </row>
    <row r="1134" spans="1:29" ht="27">
      <c r="A1134" s="62"/>
      <c r="B1134" s="27">
        <f t="shared" si="58"/>
        <v>66</v>
      </c>
      <c r="C1134" s="27">
        <f t="shared" si="59"/>
        <v>2026</v>
      </c>
      <c r="D1134" s="39"/>
      <c r="E1134" s="19">
        <v>6688213</v>
      </c>
      <c r="F1134" s="20" t="s">
        <v>38</v>
      </c>
      <c r="G1134" s="20" t="s">
        <v>4138</v>
      </c>
      <c r="H1134" s="32" t="s">
        <v>4139</v>
      </c>
      <c r="I1134" s="25" t="s">
        <v>64</v>
      </c>
      <c r="J1134" s="25"/>
      <c r="K1134" s="25"/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 t="s">
        <v>4140</v>
      </c>
      <c r="Y1134" s="25"/>
      <c r="Z1134" s="25"/>
      <c r="AA1134" s="40"/>
      <c r="AB1134" s="40"/>
      <c r="AC1134" s="25" t="str">
        <f>TRIM(StudentScore[[#This Row],[Student Email]])</f>
        <v>pithiphum.pra@student.mahidol.ac.th</v>
      </c>
    </row>
    <row r="1135" spans="1:29" ht="27">
      <c r="A1135" s="62"/>
      <c r="B1135" s="27">
        <f t="shared" si="58"/>
        <v>66</v>
      </c>
      <c r="C1135" s="27">
        <f t="shared" si="59"/>
        <v>2026</v>
      </c>
      <c r="D1135" s="39"/>
      <c r="E1135" s="19">
        <v>6688214</v>
      </c>
      <c r="F1135" s="20" t="s">
        <v>38</v>
      </c>
      <c r="G1135" s="20" t="s">
        <v>4141</v>
      </c>
      <c r="H1135" s="32" t="s">
        <v>4142</v>
      </c>
      <c r="I1135" s="25" t="s">
        <v>64</v>
      </c>
      <c r="J1135" s="25"/>
      <c r="K1135" s="25"/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 t="s">
        <v>4143</v>
      </c>
      <c r="Y1135" s="25"/>
      <c r="Z1135" s="25"/>
      <c r="AA1135" s="40"/>
      <c r="AB1135" s="40"/>
      <c r="AC1135" s="25" t="str">
        <f>TRIM(StudentScore[[#This Row],[Student Email]])</f>
        <v>thanaphum.sai@student.mahidol.ac.th</v>
      </c>
    </row>
    <row r="1136" spans="1:29" ht="27">
      <c r="A1136" s="62"/>
      <c r="B1136" s="27">
        <f t="shared" si="58"/>
        <v>66</v>
      </c>
      <c r="C1136" s="27">
        <f t="shared" si="59"/>
        <v>2026</v>
      </c>
      <c r="D1136" s="39"/>
      <c r="E1136" s="19">
        <v>6688215</v>
      </c>
      <c r="F1136" s="20" t="s">
        <v>38</v>
      </c>
      <c r="G1136" s="20" t="s">
        <v>4144</v>
      </c>
      <c r="H1136" s="32" t="s">
        <v>4145</v>
      </c>
      <c r="I1136" s="25" t="s">
        <v>64</v>
      </c>
      <c r="J1136" s="25"/>
      <c r="K1136" s="25"/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 t="s">
        <v>4146</v>
      </c>
      <c r="Y1136" s="25"/>
      <c r="Z1136" s="25"/>
      <c r="AA1136" s="40"/>
      <c r="AB1136" s="40"/>
      <c r="AC1136" s="25" t="str">
        <f>TRIM(StudentScore[[#This Row],[Student Email]])</f>
        <v>poramin.sak@student.mahidol.ac.th</v>
      </c>
    </row>
    <row r="1137" spans="1:29" ht="27">
      <c r="A1137" s="62"/>
      <c r="B1137" s="27">
        <f t="shared" si="58"/>
        <v>66</v>
      </c>
      <c r="C1137" s="27">
        <f t="shared" si="59"/>
        <v>2026</v>
      </c>
      <c r="D1137" s="39"/>
      <c r="E1137" s="19">
        <v>6688216</v>
      </c>
      <c r="F1137" s="20" t="s">
        <v>38</v>
      </c>
      <c r="G1137" s="20" t="s">
        <v>4147</v>
      </c>
      <c r="H1137" s="32" t="s">
        <v>4148</v>
      </c>
      <c r="I1137" s="25" t="s">
        <v>64</v>
      </c>
      <c r="J1137" s="25"/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 t="s">
        <v>4149</v>
      </c>
      <c r="Y1137" s="25"/>
      <c r="Z1137" s="25"/>
      <c r="AA1137" s="40"/>
      <c r="AB1137" s="40"/>
      <c r="AC1137" s="25" t="str">
        <f>TRIM(StudentScore[[#This Row],[Student Email]])</f>
        <v>pakawat.sab@student.mahidol.ac.th</v>
      </c>
    </row>
    <row r="1138" spans="1:29" ht="27">
      <c r="A1138" s="62"/>
      <c r="B1138" s="27">
        <f t="shared" si="58"/>
        <v>66</v>
      </c>
      <c r="C1138" s="27">
        <f t="shared" si="59"/>
        <v>2026</v>
      </c>
      <c r="D1138" s="39"/>
      <c r="E1138" s="19">
        <v>6688217</v>
      </c>
      <c r="F1138" s="20" t="s">
        <v>38</v>
      </c>
      <c r="G1138" s="20" t="s">
        <v>1512</v>
      </c>
      <c r="H1138" s="32" t="s">
        <v>4150</v>
      </c>
      <c r="I1138" s="25" t="s">
        <v>64</v>
      </c>
      <c r="J1138" s="25"/>
      <c r="K1138" s="25"/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 t="s">
        <v>4151</v>
      </c>
      <c r="Y1138" s="25"/>
      <c r="Z1138" s="25"/>
      <c r="AA1138" s="40"/>
      <c r="AB1138" s="40"/>
      <c r="AC1138" s="25" t="str">
        <f>TRIM(StudentScore[[#This Row],[Student Email]])</f>
        <v>waris.sir@student.mahidol.ac.th</v>
      </c>
    </row>
    <row r="1139" spans="1:29" ht="27">
      <c r="A1139" s="62"/>
      <c r="B1139" s="27">
        <f t="shared" si="58"/>
        <v>66</v>
      </c>
      <c r="C1139" s="27">
        <f t="shared" si="59"/>
        <v>2026</v>
      </c>
      <c r="D1139" s="39"/>
      <c r="E1139" s="19">
        <v>6688218</v>
      </c>
      <c r="F1139" s="20" t="s">
        <v>38</v>
      </c>
      <c r="G1139" s="20" t="s">
        <v>1866</v>
      </c>
      <c r="H1139" s="32" t="s">
        <v>4152</v>
      </c>
      <c r="I1139" s="25" t="s">
        <v>64</v>
      </c>
      <c r="J1139" s="25"/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 t="s">
        <v>4153</v>
      </c>
      <c r="Y1139" s="25"/>
      <c r="Z1139" s="25"/>
      <c r="AA1139" s="40"/>
      <c r="AB1139" s="40"/>
      <c r="AC1139" s="25" t="str">
        <f>TRIM(StudentScore[[#This Row],[Student Email]])</f>
        <v>peerawat.son@student.mahidol.ac.th</v>
      </c>
    </row>
    <row r="1140" spans="1:29" ht="27">
      <c r="A1140" s="62"/>
      <c r="B1140" s="27">
        <f t="shared" si="58"/>
        <v>66</v>
      </c>
      <c r="C1140" s="27">
        <f t="shared" si="59"/>
        <v>2026</v>
      </c>
      <c r="D1140" s="39"/>
      <c r="E1140" s="19">
        <v>6688219</v>
      </c>
      <c r="F1140" s="20" t="s">
        <v>38</v>
      </c>
      <c r="G1140" s="20" t="s">
        <v>4154</v>
      </c>
      <c r="H1140" s="32" t="s">
        <v>4155</v>
      </c>
      <c r="I1140" s="25" t="s">
        <v>64</v>
      </c>
      <c r="J1140" s="25"/>
      <c r="K1140" s="25"/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 t="s">
        <v>4156</v>
      </c>
      <c r="Y1140" s="25"/>
      <c r="Z1140" s="25"/>
      <c r="AA1140" s="40"/>
      <c r="AB1140" s="40"/>
      <c r="AC1140" s="25" t="str">
        <f>TRIM(StudentScore[[#This Row],[Student Email]])</f>
        <v>kritsana.sr1@student.mahidol.ac.th</v>
      </c>
    </row>
    <row r="1141" spans="1:29" ht="27">
      <c r="A1141" s="62"/>
      <c r="B1141" s="27">
        <f t="shared" si="58"/>
        <v>66</v>
      </c>
      <c r="C1141" s="27">
        <f t="shared" si="59"/>
        <v>2026</v>
      </c>
      <c r="D1141" s="39"/>
      <c r="E1141" s="19">
        <v>6688220</v>
      </c>
      <c r="F1141" s="20" t="s">
        <v>117</v>
      </c>
      <c r="G1141" s="20" t="s">
        <v>4157</v>
      </c>
      <c r="H1141" s="32" t="s">
        <v>4158</v>
      </c>
      <c r="I1141" s="25" t="s">
        <v>64</v>
      </c>
      <c r="J1141" s="25"/>
      <c r="K1141" s="25"/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 t="s">
        <v>4159</v>
      </c>
      <c r="Y1141" s="25"/>
      <c r="Z1141" s="25"/>
      <c r="AA1141" s="40"/>
      <c r="AB1141" s="40"/>
      <c r="AC1141" s="25" t="str">
        <f>TRIM(StudentScore[[#This Row],[Student Email]])</f>
        <v>rapeepan.sri@student.mahidol.ac.th</v>
      </c>
    </row>
    <row r="1142" spans="1:29" ht="27">
      <c r="A1142" s="62"/>
      <c r="B1142" s="27">
        <f t="shared" si="58"/>
        <v>66</v>
      </c>
      <c r="C1142" s="27">
        <f t="shared" si="59"/>
        <v>2026</v>
      </c>
      <c r="D1142" s="39"/>
      <c r="E1142" s="19">
        <v>6688221</v>
      </c>
      <c r="F1142" s="20" t="s">
        <v>117</v>
      </c>
      <c r="G1142" s="20" t="s">
        <v>4160</v>
      </c>
      <c r="H1142" s="32" t="s">
        <v>4161</v>
      </c>
      <c r="I1142" s="25" t="s">
        <v>64</v>
      </c>
      <c r="J1142" s="25"/>
      <c r="K1142" s="25"/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 t="s">
        <v>4162</v>
      </c>
      <c r="Y1142" s="25"/>
      <c r="Z1142" s="25"/>
      <c r="AA1142" s="40"/>
      <c r="AB1142" s="40"/>
      <c r="AC1142" s="25" t="str">
        <f>TRIM(StudentScore[[#This Row],[Student Email]])</f>
        <v>martika.suk@student.mahidol.ac.th</v>
      </c>
    </row>
    <row r="1143" spans="1:29" ht="27">
      <c r="A1143" s="62"/>
      <c r="B1143" s="27">
        <f t="shared" si="58"/>
        <v>66</v>
      </c>
      <c r="C1143" s="27">
        <f t="shared" si="59"/>
        <v>2026</v>
      </c>
      <c r="D1143" s="39"/>
      <c r="E1143" s="19">
        <v>6688222</v>
      </c>
      <c r="F1143" s="20" t="s">
        <v>38</v>
      </c>
      <c r="G1143" s="20" t="s">
        <v>4163</v>
      </c>
      <c r="H1143" s="32" t="s">
        <v>4164</v>
      </c>
      <c r="I1143" s="25" t="s">
        <v>64</v>
      </c>
      <c r="J1143" s="25"/>
      <c r="K1143" s="25"/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 t="s">
        <v>4165</v>
      </c>
      <c r="Y1143" s="25"/>
      <c r="Z1143" s="25"/>
      <c r="AA1143" s="40"/>
      <c r="AB1143" s="40"/>
      <c r="AC1143" s="25" t="str">
        <f>TRIM(StudentScore[[#This Row],[Student Email]])</f>
        <v>pansyn.sut@student.mahidol.ac.th</v>
      </c>
    </row>
    <row r="1144" spans="1:29" ht="27">
      <c r="A1144" s="62"/>
      <c r="B1144" s="27">
        <f t="shared" si="58"/>
        <v>66</v>
      </c>
      <c r="C1144" s="27">
        <f t="shared" si="59"/>
        <v>2026</v>
      </c>
      <c r="D1144" s="39"/>
      <c r="E1144" s="19">
        <v>6688223</v>
      </c>
      <c r="F1144" s="20" t="s">
        <v>38</v>
      </c>
      <c r="G1144" s="20" t="s">
        <v>4166</v>
      </c>
      <c r="H1144" s="32" t="s">
        <v>4167</v>
      </c>
      <c r="I1144" s="25" t="s">
        <v>64</v>
      </c>
      <c r="J1144" s="25"/>
      <c r="K1144" s="25"/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 t="s">
        <v>4168</v>
      </c>
      <c r="Y1144" s="25"/>
      <c r="Z1144" s="25"/>
      <c r="AA1144" s="40"/>
      <c r="AB1144" s="40"/>
      <c r="AC1144" s="25" t="str">
        <f>TRIM(StudentScore[[#This Row],[Student Email]])</f>
        <v>chayanin.suw@student.mahidol.ac.th</v>
      </c>
    </row>
    <row r="1145" spans="1:29" ht="27">
      <c r="A1145" s="62"/>
      <c r="B1145" s="27">
        <f t="shared" si="58"/>
        <v>66</v>
      </c>
      <c r="C1145" s="27">
        <f t="shared" si="59"/>
        <v>2026</v>
      </c>
      <c r="D1145" s="39"/>
      <c r="E1145" s="19">
        <v>6688224</v>
      </c>
      <c r="F1145" s="20" t="s">
        <v>117</v>
      </c>
      <c r="G1145" s="20" t="s">
        <v>4169</v>
      </c>
      <c r="H1145" s="32" t="s">
        <v>4170</v>
      </c>
      <c r="I1145" s="25" t="s">
        <v>64</v>
      </c>
      <c r="J1145" s="25"/>
      <c r="K1145" s="25"/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 t="s">
        <v>4171</v>
      </c>
      <c r="Y1145" s="25"/>
      <c r="Z1145" s="25"/>
      <c r="AA1145" s="40"/>
      <c r="AB1145" s="40"/>
      <c r="AC1145" s="25" t="str">
        <f>TRIM(StudentScore[[#This Row],[Student Email]])</f>
        <v>natthatida.taw@student.mahidol.ac.th</v>
      </c>
    </row>
    <row r="1146" spans="1:29" ht="27">
      <c r="A1146" s="62"/>
      <c r="B1146" s="27">
        <f t="shared" si="58"/>
        <v>66</v>
      </c>
      <c r="C1146" s="27">
        <f t="shared" si="59"/>
        <v>2026</v>
      </c>
      <c r="D1146" s="39"/>
      <c r="E1146" s="19">
        <v>6688225</v>
      </c>
      <c r="F1146" s="20" t="s">
        <v>38</v>
      </c>
      <c r="G1146" s="20" t="s">
        <v>4172</v>
      </c>
      <c r="H1146" s="32" t="s">
        <v>4173</v>
      </c>
      <c r="I1146" s="25" t="s">
        <v>64</v>
      </c>
      <c r="J1146" s="25"/>
      <c r="K1146" s="25"/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 t="s">
        <v>4174</v>
      </c>
      <c r="Y1146" s="25"/>
      <c r="Z1146" s="25"/>
      <c r="AA1146" s="40"/>
      <c r="AB1146" s="40"/>
      <c r="AC1146" s="25" t="str">
        <f>TRIM(StudentScore[[#This Row],[Student Email]])</f>
        <v>jiradech.tha@student.mahidol.ac.th</v>
      </c>
    </row>
    <row r="1147" spans="1:29" ht="27">
      <c r="A1147" s="62"/>
      <c r="B1147" s="27">
        <f t="shared" si="58"/>
        <v>66</v>
      </c>
      <c r="C1147" s="27">
        <f t="shared" si="59"/>
        <v>2026</v>
      </c>
      <c r="D1147" s="39"/>
      <c r="E1147" s="19">
        <v>6688226</v>
      </c>
      <c r="F1147" s="20" t="s">
        <v>38</v>
      </c>
      <c r="G1147" s="20" t="s">
        <v>184</v>
      </c>
      <c r="H1147" s="32" t="s">
        <v>4175</v>
      </c>
      <c r="I1147" s="25" t="s">
        <v>64</v>
      </c>
      <c r="J1147" s="25"/>
      <c r="K1147" s="25"/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 t="s">
        <v>4176</v>
      </c>
      <c r="Y1147" s="25"/>
      <c r="Z1147" s="25"/>
      <c r="AA1147" s="40"/>
      <c r="AB1147" s="40"/>
      <c r="AC1147" s="25" t="str">
        <f>TRIM(StudentScore[[#This Row],[Student Email]])</f>
        <v>thanawat.ths@student.mahidol.ac.th</v>
      </c>
    </row>
    <row r="1148" spans="1:29" ht="27">
      <c r="A1148" s="62"/>
      <c r="B1148" s="27">
        <f t="shared" si="58"/>
        <v>66</v>
      </c>
      <c r="C1148" s="27">
        <f t="shared" si="59"/>
        <v>2026</v>
      </c>
      <c r="D1148" s="39"/>
      <c r="E1148" s="19">
        <v>6688227</v>
      </c>
      <c r="F1148" s="20" t="s">
        <v>117</v>
      </c>
      <c r="G1148" s="20" t="s">
        <v>4177</v>
      </c>
      <c r="H1148" s="32" t="s">
        <v>4178</v>
      </c>
      <c r="I1148" s="25" t="s">
        <v>64</v>
      </c>
      <c r="J1148" s="25"/>
      <c r="K1148" s="25"/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 t="s">
        <v>4179</v>
      </c>
      <c r="Y1148" s="25"/>
      <c r="Z1148" s="25"/>
      <c r="AA1148" s="40"/>
      <c r="AB1148" s="40"/>
      <c r="AC1148" s="25" t="str">
        <f>TRIM(StudentScore[[#This Row],[Student Email]])</f>
        <v>torpat.tip@student.mahidol.ac.th</v>
      </c>
    </row>
    <row r="1149" spans="1:29" ht="27">
      <c r="A1149" s="62"/>
      <c r="B1149" s="27">
        <f t="shared" si="58"/>
        <v>66</v>
      </c>
      <c r="C1149" s="27">
        <f t="shared" si="59"/>
        <v>2026</v>
      </c>
      <c r="D1149" s="39"/>
      <c r="E1149" s="19">
        <v>6688228</v>
      </c>
      <c r="F1149" s="20" t="s">
        <v>117</v>
      </c>
      <c r="G1149" s="20" t="s">
        <v>4180</v>
      </c>
      <c r="H1149" s="32" t="s">
        <v>4181</v>
      </c>
      <c r="I1149" s="25" t="s">
        <v>64</v>
      </c>
      <c r="J1149" s="25"/>
      <c r="K1149" s="25"/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 t="s">
        <v>4182</v>
      </c>
      <c r="Y1149" s="25"/>
      <c r="Z1149" s="25"/>
      <c r="AA1149" s="40"/>
      <c r="AB1149" s="40"/>
      <c r="AC1149" s="25" t="str">
        <f>TRIM(StudentScore[[#This Row],[Student Email]])</f>
        <v>nunnapat.vit@student.mahidol.ac.th</v>
      </c>
    </row>
    <row r="1150" spans="1:29" ht="27">
      <c r="A1150" s="62"/>
      <c r="B1150" s="27">
        <f t="shared" si="58"/>
        <v>66</v>
      </c>
      <c r="C1150" s="27">
        <f t="shared" si="59"/>
        <v>2026</v>
      </c>
      <c r="D1150" s="39"/>
      <c r="E1150" s="19">
        <v>6688229</v>
      </c>
      <c r="F1150" s="20" t="s">
        <v>38</v>
      </c>
      <c r="G1150" s="20" t="s">
        <v>4183</v>
      </c>
      <c r="H1150" s="32" t="s">
        <v>4184</v>
      </c>
      <c r="I1150" s="25" t="s">
        <v>64</v>
      </c>
      <c r="J1150" s="25"/>
      <c r="K1150" s="25"/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 t="s">
        <v>4185</v>
      </c>
      <c r="Y1150" s="25"/>
      <c r="Z1150" s="25"/>
      <c r="AA1150" s="40"/>
      <c r="AB1150" s="40"/>
      <c r="AC1150" s="25" t="str">
        <f>TRIM(StudentScore[[#This Row],[Student Email]])</f>
        <v>jugkrapun.wit@student.mahidol.ac.th</v>
      </c>
    </row>
    <row r="1151" spans="1:29" ht="27">
      <c r="A1151" s="62"/>
      <c r="B1151" s="27">
        <f t="shared" si="58"/>
        <v>66</v>
      </c>
      <c r="C1151" s="27">
        <f t="shared" si="59"/>
        <v>2026</v>
      </c>
      <c r="D1151" s="39"/>
      <c r="E1151" s="19">
        <v>6688230</v>
      </c>
      <c r="F1151" s="20" t="s">
        <v>38</v>
      </c>
      <c r="G1151" s="20" t="s">
        <v>4186</v>
      </c>
      <c r="H1151" s="32" t="s">
        <v>4187</v>
      </c>
      <c r="I1151" s="25" t="s">
        <v>64</v>
      </c>
      <c r="J1151" s="25"/>
      <c r="K1151" s="25"/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 t="s">
        <v>4188</v>
      </c>
      <c r="Y1151" s="25"/>
      <c r="Z1151" s="25"/>
      <c r="AA1151" s="40"/>
      <c r="AB1151" s="40"/>
      <c r="AC1151" s="25" t="str">
        <f>TRIM(StudentScore[[#This Row],[Student Email]])</f>
        <v>yongyot.won@student.mahidol.ac.th</v>
      </c>
    </row>
    <row r="1152" spans="1:29" ht="27">
      <c r="A1152" s="62"/>
      <c r="B1152" s="27">
        <f t="shared" si="58"/>
        <v>66</v>
      </c>
      <c r="C1152" s="27">
        <f t="shared" si="59"/>
        <v>2026</v>
      </c>
      <c r="D1152" s="39"/>
      <c r="E1152" s="19">
        <v>6688231</v>
      </c>
      <c r="F1152" s="20" t="s">
        <v>38</v>
      </c>
      <c r="G1152" s="20" t="s">
        <v>1312</v>
      </c>
      <c r="H1152" s="32" t="s">
        <v>4189</v>
      </c>
      <c r="I1152" s="25" t="s">
        <v>64</v>
      </c>
      <c r="J1152" s="25"/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 t="s">
        <v>4190</v>
      </c>
      <c r="Y1152" s="25"/>
      <c r="Z1152" s="25"/>
      <c r="AA1152" s="40"/>
      <c r="AB1152" s="40"/>
      <c r="AC1152" s="25" t="str">
        <f>TRIM(StudentScore[[#This Row],[Student Email]])</f>
        <v>nattapat.yot@student.mahidol.ac.th</v>
      </c>
    </row>
    <row r="1153" spans="1:29" ht="27">
      <c r="A1153" s="62"/>
      <c r="B1153" s="27">
        <f t="shared" si="58"/>
        <v>66</v>
      </c>
      <c r="C1153" s="27">
        <f t="shared" si="59"/>
        <v>2026</v>
      </c>
      <c r="D1153" s="39"/>
      <c r="E1153" s="19">
        <v>6688232</v>
      </c>
      <c r="F1153" s="20" t="s">
        <v>117</v>
      </c>
      <c r="G1153" s="20" t="s">
        <v>4191</v>
      </c>
      <c r="H1153" s="32" t="s">
        <v>2091</v>
      </c>
      <c r="I1153" s="25" t="s">
        <v>64</v>
      </c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 t="s">
        <v>4192</v>
      </c>
      <c r="Y1153" s="25"/>
      <c r="Z1153" s="25"/>
      <c r="AA1153" s="40"/>
      <c r="AB1153" s="40"/>
      <c r="AC1153" s="25" t="str">
        <f>TRIM(StudentScore[[#This Row],[Student Email]])</f>
        <v>xinyi.chn@student.mahidol.ac.th</v>
      </c>
    </row>
    <row r="1154" spans="1:29" ht="27">
      <c r="A1154" s="62"/>
      <c r="B1154" s="27">
        <f t="shared" si="58"/>
        <v>66</v>
      </c>
      <c r="C1154" s="27">
        <f t="shared" si="59"/>
        <v>2026</v>
      </c>
      <c r="D1154" s="39"/>
      <c r="E1154" s="19">
        <v>6688235</v>
      </c>
      <c r="F1154" s="20" t="s">
        <v>117</v>
      </c>
      <c r="G1154" s="20" t="s">
        <v>4193</v>
      </c>
      <c r="H1154" s="32" t="s">
        <v>4194</v>
      </c>
      <c r="I1154" s="25" t="s">
        <v>64</v>
      </c>
      <c r="J1154" s="25"/>
      <c r="K1154" s="25"/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 t="s">
        <v>4195</v>
      </c>
      <c r="Y1154" s="25"/>
      <c r="Z1154" s="25"/>
      <c r="AA1154" s="40"/>
      <c r="AB1154" s="40"/>
      <c r="AC1154" s="25" t="str">
        <f>TRIM(StudentScore[[#This Row],[Student Email]])</f>
        <v>punnapat.ana@student.mahidol.ac.th</v>
      </c>
    </row>
    <row r="1155" spans="1:29" ht="27">
      <c r="A1155" s="62"/>
      <c r="B1155" s="27">
        <f t="shared" si="58"/>
        <v>66</v>
      </c>
      <c r="C1155" s="27">
        <f t="shared" si="59"/>
        <v>2026</v>
      </c>
      <c r="D1155" s="39"/>
      <c r="E1155" s="19">
        <v>6688236</v>
      </c>
      <c r="F1155" s="20" t="s">
        <v>117</v>
      </c>
      <c r="G1155" s="20" t="s">
        <v>4196</v>
      </c>
      <c r="H1155" s="32" t="s">
        <v>4197</v>
      </c>
      <c r="I1155" s="25" t="s">
        <v>64</v>
      </c>
      <c r="J1155" s="25"/>
      <c r="K1155" s="25"/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 t="s">
        <v>4198</v>
      </c>
      <c r="Y1155" s="25"/>
      <c r="Z1155" s="25"/>
      <c r="AA1155" s="40"/>
      <c r="AB1155" s="40"/>
      <c r="AC1155" s="25" t="str">
        <f>TRIM(StudentScore[[#This Row],[Student Email]])</f>
        <v>natthanit.ana@student.mahidol.ac.th</v>
      </c>
    </row>
    <row r="1156" spans="1:29" ht="27">
      <c r="A1156" s="62"/>
      <c r="B1156" s="27">
        <f t="shared" si="58"/>
        <v>66</v>
      </c>
      <c r="C1156" s="27">
        <f t="shared" si="59"/>
        <v>2026</v>
      </c>
      <c r="D1156" s="39"/>
      <c r="E1156" s="19">
        <v>6688237</v>
      </c>
      <c r="F1156" s="20" t="s">
        <v>38</v>
      </c>
      <c r="G1156" s="20" t="s">
        <v>4199</v>
      </c>
      <c r="H1156" s="32" t="s">
        <v>4200</v>
      </c>
      <c r="I1156" s="25" t="s">
        <v>64</v>
      </c>
      <c r="J1156" s="25"/>
      <c r="K1156" s="25"/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 t="s">
        <v>4201</v>
      </c>
      <c r="Y1156" s="25"/>
      <c r="Z1156" s="25"/>
      <c r="AA1156" s="40"/>
      <c r="AB1156" s="40"/>
      <c r="AC1156" s="25" t="str">
        <f>TRIM(StudentScore[[#This Row],[Student Email]])</f>
        <v>pacharagron.aum@student.mahidol.ac.th</v>
      </c>
    </row>
    <row r="1157" spans="1:29" ht="27">
      <c r="A1157" s="62"/>
      <c r="B1157" s="27">
        <f t="shared" si="58"/>
        <v>66</v>
      </c>
      <c r="C1157" s="27">
        <f t="shared" si="59"/>
        <v>2026</v>
      </c>
      <c r="D1157" s="39"/>
      <c r="E1157" s="19">
        <v>6688238</v>
      </c>
      <c r="F1157" s="20" t="s">
        <v>38</v>
      </c>
      <c r="G1157" s="20" t="s">
        <v>3350</v>
      </c>
      <c r="H1157" s="32" t="s">
        <v>4202</v>
      </c>
      <c r="I1157" s="25" t="s">
        <v>64</v>
      </c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 t="s">
        <v>4203</v>
      </c>
      <c r="Y1157" s="25"/>
      <c r="Z1157" s="25"/>
      <c r="AA1157" s="40"/>
      <c r="AB1157" s="40"/>
      <c r="AC1157" s="25" t="str">
        <f>TRIM(StudentScore[[#This Row],[Student Email]])</f>
        <v>panupong.buk@student.mahidol.ac.th</v>
      </c>
    </row>
    <row r="1158" spans="1:29" ht="27">
      <c r="A1158" s="62"/>
      <c r="B1158" s="27">
        <f t="shared" si="58"/>
        <v>66</v>
      </c>
      <c r="C1158" s="27">
        <f t="shared" si="59"/>
        <v>2026</v>
      </c>
      <c r="D1158" s="39"/>
      <c r="E1158" s="19">
        <v>6688239</v>
      </c>
      <c r="F1158" s="20" t="s">
        <v>117</v>
      </c>
      <c r="G1158" s="20" t="s">
        <v>512</v>
      </c>
      <c r="H1158" s="32" t="s">
        <v>4204</v>
      </c>
      <c r="I1158" s="25" t="s">
        <v>64</v>
      </c>
      <c r="J1158" s="25"/>
      <c r="K1158" s="25"/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 t="s">
        <v>4205</v>
      </c>
      <c r="Y1158" s="25"/>
      <c r="Z1158" s="25"/>
      <c r="AA1158" s="40"/>
      <c r="AB1158" s="40"/>
      <c r="AC1158" s="25" t="str">
        <f>TRIM(StudentScore[[#This Row],[Student Email]])</f>
        <v>piyada.chl@student.mahidol.ac.th</v>
      </c>
    </row>
    <row r="1159" spans="1:29" ht="27">
      <c r="A1159" s="62"/>
      <c r="B1159" s="27">
        <f t="shared" si="58"/>
        <v>66</v>
      </c>
      <c r="C1159" s="27">
        <f t="shared" si="59"/>
        <v>2026</v>
      </c>
      <c r="D1159" s="39"/>
      <c r="E1159" s="19">
        <v>6688240</v>
      </c>
      <c r="F1159" s="20" t="s">
        <v>38</v>
      </c>
      <c r="G1159" s="20" t="s">
        <v>4206</v>
      </c>
      <c r="H1159" s="32" t="s">
        <v>4207</v>
      </c>
      <c r="I1159" s="25" t="s">
        <v>64</v>
      </c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 t="s">
        <v>4208</v>
      </c>
      <c r="Y1159" s="25"/>
      <c r="Z1159" s="25"/>
      <c r="AA1159" s="40"/>
      <c r="AB1159" s="40"/>
      <c r="AC1159" s="25" t="str">
        <f>TRIM(StudentScore[[#This Row],[Student Email]])</f>
        <v>rattanawut.ker@student.mahidol.ac.th</v>
      </c>
    </row>
    <row r="1160" spans="1:29" ht="27">
      <c r="A1160" s="62"/>
      <c r="B1160" s="27">
        <f t="shared" si="58"/>
        <v>66</v>
      </c>
      <c r="C1160" s="27">
        <f t="shared" si="59"/>
        <v>2026</v>
      </c>
      <c r="D1160" s="39"/>
      <c r="E1160" s="19">
        <v>6688241</v>
      </c>
      <c r="F1160" s="20" t="s">
        <v>117</v>
      </c>
      <c r="G1160" s="20" t="s">
        <v>4209</v>
      </c>
      <c r="H1160" s="32" t="s">
        <v>4210</v>
      </c>
      <c r="I1160" s="25" t="s">
        <v>64</v>
      </c>
      <c r="J1160" s="25"/>
      <c r="K1160" s="25"/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 t="s">
        <v>4211</v>
      </c>
      <c r="Y1160" s="25"/>
      <c r="Z1160" s="25"/>
      <c r="AA1160" s="40"/>
      <c r="AB1160" s="40"/>
      <c r="AC1160" s="25" t="str">
        <f>TRIM(StudentScore[[#This Row],[Student Email]])</f>
        <v>kulisara.kha@student.mahidol.ac.th</v>
      </c>
    </row>
    <row r="1161" spans="1:29" ht="27">
      <c r="A1161" s="62"/>
      <c r="B1161" s="27">
        <f t="shared" si="58"/>
        <v>66</v>
      </c>
      <c r="C1161" s="27">
        <f t="shared" si="59"/>
        <v>2026</v>
      </c>
      <c r="D1161" s="39"/>
      <c r="E1161" s="19">
        <v>6688242</v>
      </c>
      <c r="F1161" s="20" t="s">
        <v>38</v>
      </c>
      <c r="G1161" s="20" t="s">
        <v>4212</v>
      </c>
      <c r="H1161" s="32" t="s">
        <v>4213</v>
      </c>
      <c r="I1161" s="25" t="s">
        <v>64</v>
      </c>
      <c r="J1161" s="25"/>
      <c r="K1161" s="25"/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 t="s">
        <v>4214</v>
      </c>
      <c r="Y1161" s="25"/>
      <c r="Z1161" s="25"/>
      <c r="AA1161" s="40"/>
      <c r="AB1161" s="40"/>
      <c r="AC1161" s="25" t="str">
        <f>TRIM(StudentScore[[#This Row],[Student Email]])</f>
        <v>supanut.khi@student.mahidol.ac.th</v>
      </c>
    </row>
    <row r="1162" spans="1:29" ht="27">
      <c r="A1162" s="62"/>
      <c r="B1162" s="27">
        <f t="shared" si="58"/>
        <v>66</v>
      </c>
      <c r="C1162" s="27">
        <f t="shared" si="59"/>
        <v>2026</v>
      </c>
      <c r="D1162" s="39"/>
      <c r="E1162" s="19">
        <v>6688243</v>
      </c>
      <c r="F1162" s="20" t="s">
        <v>38</v>
      </c>
      <c r="G1162" s="20" t="s">
        <v>3267</v>
      </c>
      <c r="H1162" s="32" t="s">
        <v>4215</v>
      </c>
      <c r="I1162" s="25" t="s">
        <v>64</v>
      </c>
      <c r="J1162" s="25"/>
      <c r="K1162" s="25"/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 t="s">
        <v>4216</v>
      </c>
      <c r="Y1162" s="25"/>
      <c r="Z1162" s="25"/>
      <c r="AA1162" s="40"/>
      <c r="AB1162" s="40"/>
      <c r="AC1162" s="25" t="str">
        <f>TRIM(StudentScore[[#This Row],[Student Email]])</f>
        <v>supakorn.mun@student.mahidol.ac.th</v>
      </c>
    </row>
    <row r="1163" spans="1:29" ht="27">
      <c r="A1163" s="62"/>
      <c r="B1163" s="27">
        <f t="shared" si="58"/>
        <v>66</v>
      </c>
      <c r="C1163" s="27">
        <f t="shared" si="59"/>
        <v>2026</v>
      </c>
      <c r="D1163" s="39"/>
      <c r="E1163" s="19">
        <v>6688244</v>
      </c>
      <c r="F1163" s="20" t="s">
        <v>117</v>
      </c>
      <c r="G1163" s="20" t="s">
        <v>4217</v>
      </c>
      <c r="H1163" s="32" t="s">
        <v>4218</v>
      </c>
      <c r="I1163" s="25" t="s">
        <v>64</v>
      </c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 t="s">
        <v>4219</v>
      </c>
      <c r="W1163" s="25"/>
      <c r="X1163" s="25" t="s">
        <v>4220</v>
      </c>
      <c r="Y1163" s="25"/>
      <c r="Z1163" s="25"/>
      <c r="AA1163" s="40"/>
      <c r="AB1163" s="40"/>
      <c r="AC1163" s="25" t="str">
        <f>TRIM(StudentScore[[#This Row],[Student Email]])</f>
        <v>boonaum.sia@student.mahidol.ac.th</v>
      </c>
    </row>
    <row r="1164" spans="1:29" ht="27">
      <c r="A1164" s="15"/>
      <c r="B1164" s="16">
        <f t="shared" si="58"/>
        <v>66</v>
      </c>
      <c r="C1164" s="27">
        <f t="shared" si="59"/>
        <v>2026</v>
      </c>
      <c r="D1164" s="39"/>
      <c r="E1164" s="19">
        <v>6688245</v>
      </c>
      <c r="F1164" s="20" t="s">
        <v>38</v>
      </c>
      <c r="G1164" s="14" t="s">
        <v>4221</v>
      </c>
      <c r="H1164" s="18" t="s">
        <v>4222</v>
      </c>
      <c r="I1164" s="25" t="s">
        <v>64</v>
      </c>
      <c r="J1164" s="25"/>
      <c r="K1164" s="25"/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 t="s">
        <v>4223</v>
      </c>
      <c r="Y1164" s="25"/>
      <c r="Z1164" s="25"/>
      <c r="AA1164" s="40"/>
      <c r="AB1164" s="40"/>
      <c r="AC1164" s="25" t="str">
        <f>TRIM(StudentScore[[#This Row],[Student Email]])</f>
        <v>pachara.wan@student.mahidol.ac.th</v>
      </c>
    </row>
  </sheetData>
  <mergeCells count="4">
    <mergeCell ref="A1:H1"/>
    <mergeCell ref="A2:H2"/>
    <mergeCell ref="A3:H3"/>
    <mergeCell ref="A4:H4"/>
  </mergeCells>
  <conditionalFormatting sqref="I7:I1164">
    <cfRule type="containsBlanks" dxfId="36" priority="1">
      <formula>LEN(TRIM(I7))=0</formula>
    </cfRule>
  </conditionalFormatting>
  <conditionalFormatting sqref="Y7:Z741">
    <cfRule type="containsText" dxfId="35" priority="6" operator="containsText" text="Not Complete">
      <formula>NOT(ISERROR(SEARCH("Not Complete",Y7)))</formula>
    </cfRule>
  </conditionalFormatting>
  <hyperlinks>
    <hyperlink ref="X848" r:id="rId1" xr:uid="{A894D0C2-40FC-4559-B507-9F383C987CC9}"/>
    <hyperlink ref="X849" r:id="rId2" xr:uid="{BEC5D99E-F6A4-44DF-AA97-4CC3123DAF5F}"/>
    <hyperlink ref="X931" r:id="rId3" xr:uid="{52B1A713-FADF-40A5-8BB2-EF31D07F06A4}"/>
    <hyperlink ref="X932" r:id="rId4" xr:uid="{CB069DED-72CE-4533-82B7-BB665FA9D394}"/>
    <hyperlink ref="Z867" r:id="rId5" display="https://studentmahidolac.sharepoint.com/sites/AcademicTeam603/Shared%20Documents/%E0%B9%81%E0%B8%AD%E0%B8%9B/Microsoft%20Forms/English%20Proficiency%20Test%20for%20Graduation%20-%20English/Please%20attached%20the%20original%20score%20certificate/01B9F9BA-08B0-4AF5-BC6D-69585E59A836_JUNHAO%20ZHANG.jpeg" xr:uid="{1B86B576-1492-7140-91EB-7C00B56EE992}"/>
    <hyperlink ref="Z816" r:id="rId6" xr:uid="{CB504877-EF19-7643-BC15-8A246920C2DC}"/>
    <hyperlink ref="Z215" r:id="rId7" display="https://studentmahidolac.sharepoint.com/sites/AcademicTeam603/Shared%20Documents/%E0%B9%81%E0%B8%AD%E0%B8%9B/Microsoft%20Forms/English%20Proficiency%20Test%20for%20Graduation%20-%20English/Please%20attached%20the%20original%20score%20certificate/IMG20221031115214_CHOLRAVEE%20KITTIMETHE.jpg" xr:uid="{5D262C9D-7CC3-46CD-ACFB-06EFDFD5F1E2}"/>
  </hyperlinks>
  <pageMargins left="0.7" right="0.7" top="0.75" bottom="0.75" header="0.3" footer="0.3"/>
  <tableParts count="1"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2D857CA-102A-433D-83E1-CD4063651C6F}">
          <x14:formula1>
            <xm:f>Subtitute!$A$2:$A$8</xm:f>
          </x14:formula1>
          <xm:sqref>I7:I9 I11:I27 I29:I49 I51:I104 I106:I108 I110:I130 I133:I146 I151:I152 I154:I167 I169:I180 I182:I185 I187:I189 I191:I194 I742:I1164 I252:I305 I314:I322 I330:I413 I415:I416 I418:I440 I442:I448 I450:I540 I196:I240 I242:I250</xm:sqref>
        </x14:dataValidation>
        <x14:dataValidation type="list" allowBlank="1" showInputMessage="1" showErrorMessage="1" xr:uid="{DA07A2A1-3805-4CE0-B847-55DCC9995519}">
          <x14:formula1>
            <xm:f>Program!$A$2:$A$3</xm:f>
          </x14:formula1>
          <xm:sqref>D7:D1164</xm:sqref>
        </x14:dataValidation>
        <x14:dataValidation type="list" allowBlank="1" showInputMessage="1" showErrorMessage="1" xr:uid="{BCFB81A1-9F16-4F03-9C39-6C6AF51077C0}">
          <x14:formula1>
            <xm:f>Subtitute!$A$2:$A$9</xm:f>
          </x14:formula1>
          <xm:sqref>I10 I28 I50 I105 I109 I131:I132 I147:I150 I153 I168 I181 I186 I190 I195 I251 I306:I313 I323:I329 I414 I417 I441 I449 I541:I741 I241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7FF05-BB0B-4E4E-90C1-234B96F0591A}">
  <dimension ref="A1:B9"/>
  <sheetViews>
    <sheetView workbookViewId="0">
      <selection activeCell="I449" sqref="I449"/>
    </sheetView>
  </sheetViews>
  <sheetFormatPr defaultColWidth="8.85546875" defaultRowHeight="15"/>
  <cols>
    <col min="1" max="1" width="17.28515625" bestFit="1" customWidth="1"/>
    <col min="2" max="2" width="17" bestFit="1" customWidth="1"/>
  </cols>
  <sheetData>
    <row r="1" spans="1:2">
      <c r="A1" t="s">
        <v>13</v>
      </c>
      <c r="B1" t="s">
        <v>4224</v>
      </c>
    </row>
    <row r="2" spans="1:2">
      <c r="A2" s="13" t="s">
        <v>48</v>
      </c>
      <c r="B2" s="34">
        <v>1</v>
      </c>
    </row>
    <row r="3" spans="1:2">
      <c r="A3" t="s">
        <v>41</v>
      </c>
      <c r="B3" s="34">
        <v>1</v>
      </c>
    </row>
    <row r="4" spans="1:2">
      <c r="A4" t="s">
        <v>124</v>
      </c>
      <c r="B4" s="34">
        <v>1</v>
      </c>
    </row>
    <row r="5" spans="1:2">
      <c r="A5" t="s">
        <v>53</v>
      </c>
      <c r="B5" s="34">
        <v>1</v>
      </c>
    </row>
    <row r="6" spans="1:2">
      <c r="A6" t="s">
        <v>133</v>
      </c>
      <c r="B6" s="34">
        <v>1</v>
      </c>
    </row>
    <row r="7" spans="1:2">
      <c r="A7" t="s">
        <v>244</v>
      </c>
      <c r="B7" s="34">
        <v>0</v>
      </c>
    </row>
    <row r="8" spans="1:2">
      <c r="A8" t="s">
        <v>64</v>
      </c>
      <c r="B8" s="34">
        <v>1</v>
      </c>
    </row>
    <row r="9" spans="1:2">
      <c r="A9" t="s">
        <v>102</v>
      </c>
      <c r="B9" s="34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73A3-7AF5-48EF-BCBC-9BDBF217050A}">
  <dimension ref="A1:H84"/>
  <sheetViews>
    <sheetView workbookViewId="0">
      <selection activeCell="O34" sqref="O34"/>
    </sheetView>
  </sheetViews>
  <sheetFormatPr defaultColWidth="8.85546875" defaultRowHeight="15"/>
  <cols>
    <col min="2" max="2" width="13.140625" bestFit="1" customWidth="1"/>
    <col min="3" max="3" width="8.140625" bestFit="1" customWidth="1"/>
    <col min="6" max="6" width="17.28515625" bestFit="1" customWidth="1"/>
  </cols>
  <sheetData>
    <row r="1" spans="1:8">
      <c r="A1" s="29" t="s">
        <v>4225</v>
      </c>
      <c r="E1" s="29" t="s">
        <v>4226</v>
      </c>
    </row>
    <row r="2" spans="1:8">
      <c r="A2" t="s">
        <v>4227</v>
      </c>
      <c r="B2" t="s">
        <v>4228</v>
      </c>
      <c r="C2" t="s">
        <v>4229</v>
      </c>
      <c r="E2" t="s">
        <v>4227</v>
      </c>
      <c r="F2" t="s">
        <v>4228</v>
      </c>
      <c r="G2" t="s">
        <v>11</v>
      </c>
      <c r="H2" t="s">
        <v>4229</v>
      </c>
    </row>
    <row r="3" spans="1:8">
      <c r="A3">
        <v>60</v>
      </c>
      <c r="B3" t="s">
        <v>48</v>
      </c>
      <c r="C3">
        <f>COUNTIFS(Student_ICT!I:I,Summary!$B3,Student_ICT!$B:$B,Summary!$A3)</f>
        <v>0</v>
      </c>
      <c r="E3">
        <v>60</v>
      </c>
      <c r="F3" t="s">
        <v>48</v>
      </c>
      <c r="G3" t="s">
        <v>37</v>
      </c>
      <c r="H3">
        <f>COUNTIFS(Student_ICT!$I:$I,Summary!$F3,Student_ICT!$B:$B,Summary!$E3,Student_ICT!$D:$D,Summary!$G3)</f>
        <v>0</v>
      </c>
    </row>
    <row r="4" spans="1:8">
      <c r="A4">
        <v>60</v>
      </c>
      <c r="B4" t="s">
        <v>41</v>
      </c>
      <c r="C4">
        <f>COUNTIFS(Student_ICT!I:I,Summary!$B4,Student_ICT!$B:$B,Summary!$A4)</f>
        <v>0</v>
      </c>
      <c r="E4">
        <v>60</v>
      </c>
      <c r="F4" t="s">
        <v>41</v>
      </c>
      <c r="G4" t="s">
        <v>37</v>
      </c>
      <c r="H4">
        <f>COUNTIFS(Student_ICT!$I:$I,Summary!$F4,Student_ICT!$B:$B,Summary!$E4,Student_ICT!$D:$D,Summary!$G4)</f>
        <v>0</v>
      </c>
    </row>
    <row r="5" spans="1:8">
      <c r="A5">
        <v>60</v>
      </c>
      <c r="B5" t="s">
        <v>124</v>
      </c>
      <c r="C5">
        <f>COUNTIFS(Student_ICT!I:I,Summary!$B5,Student_ICT!$B:$B,Summary!$A5)</f>
        <v>0</v>
      </c>
      <c r="E5">
        <v>60</v>
      </c>
      <c r="F5" t="s">
        <v>124</v>
      </c>
      <c r="G5" t="s">
        <v>37</v>
      </c>
      <c r="H5">
        <f>COUNTIFS(Student_ICT!$I:$I,Summary!$F5,Student_ICT!$B:$B,Summary!$E5,Student_ICT!$D:$D,Summary!$G5)</f>
        <v>0</v>
      </c>
    </row>
    <row r="6" spans="1:8">
      <c r="A6">
        <v>60</v>
      </c>
      <c r="B6" t="s">
        <v>53</v>
      </c>
      <c r="C6">
        <f>COUNTIFS(Student_ICT!I:I,Summary!$B6,Student_ICT!$B:$B,Summary!$A6)</f>
        <v>0</v>
      </c>
      <c r="E6">
        <v>60</v>
      </c>
      <c r="F6" t="s">
        <v>53</v>
      </c>
      <c r="G6" t="s">
        <v>37</v>
      </c>
      <c r="H6">
        <f>COUNTIFS(Student_ICT!$I:$I,Summary!$F6,Student_ICT!$B:$B,Summary!$E6,Student_ICT!$D:$D,Summary!$G6)</f>
        <v>0</v>
      </c>
    </row>
    <row r="7" spans="1:8">
      <c r="A7">
        <v>60</v>
      </c>
      <c r="B7" t="s">
        <v>133</v>
      </c>
      <c r="C7">
        <f>COUNTIFS(Student_ICT!I:I,Summary!$B7,Student_ICT!$B:$B,Summary!$A7)</f>
        <v>0</v>
      </c>
      <c r="E7">
        <v>60</v>
      </c>
      <c r="F7" t="s">
        <v>133</v>
      </c>
      <c r="G7" t="s">
        <v>37</v>
      </c>
      <c r="H7">
        <f>COUNTIFS(Student_ICT!$I:$I,Summary!$F7,Student_ICT!$B:$B,Summary!$E7,Student_ICT!$D:$D,Summary!$G7)</f>
        <v>0</v>
      </c>
    </row>
    <row r="8" spans="1:8">
      <c r="A8">
        <v>60</v>
      </c>
      <c r="B8" t="s">
        <v>64</v>
      </c>
      <c r="C8">
        <f>COUNTIFS(Student_ICT!I:I,Summary!$B8,Student_ICT!$B:$B,Summary!$A8)</f>
        <v>0</v>
      </c>
      <c r="E8">
        <v>60</v>
      </c>
      <c r="F8" t="s">
        <v>64</v>
      </c>
      <c r="G8" t="s">
        <v>37</v>
      </c>
      <c r="H8">
        <f>COUNTIFS(Student_ICT!$I:$I,Summary!$F8,Student_ICT!$B:$B,Summary!$E8,Student_ICT!$D:$D,Summary!$G8)</f>
        <v>0</v>
      </c>
    </row>
    <row r="9" spans="1:8">
      <c r="A9">
        <v>61</v>
      </c>
      <c r="B9" t="s">
        <v>48</v>
      </c>
      <c r="C9">
        <f>COUNTIFS(Student_ICT!I:I,Summary!$B9,Student_ICT!$B:$B,Summary!$A9)</f>
        <v>36</v>
      </c>
      <c r="E9">
        <v>60</v>
      </c>
      <c r="F9" t="s">
        <v>244</v>
      </c>
      <c r="G9" t="s">
        <v>37</v>
      </c>
      <c r="H9">
        <f>COUNTIFS(Student_ICT!$I:$I,Summary!$F9,Student_ICT!$B:$B,Summary!$E9,Student_ICT!$D:$D,Summary!$G9)</f>
        <v>0</v>
      </c>
    </row>
    <row r="10" spans="1:8">
      <c r="A10">
        <v>61</v>
      </c>
      <c r="B10" t="s">
        <v>41</v>
      </c>
      <c r="C10">
        <f>COUNTIFS(Student_ICT!I:I,Summary!$B10,Student_ICT!$B:$B,Summary!$A10)</f>
        <v>4</v>
      </c>
      <c r="E10">
        <v>60</v>
      </c>
      <c r="F10" t="s">
        <v>48</v>
      </c>
      <c r="G10" t="s">
        <v>4230</v>
      </c>
      <c r="H10">
        <f>COUNTIFS(Student_ICT!$I:$I,Summary!$F10,Student_ICT!$B:$B,Summary!$E10,Student_ICT!$D:$D,Summary!$G10)</f>
        <v>0</v>
      </c>
    </row>
    <row r="11" spans="1:8">
      <c r="A11">
        <v>61</v>
      </c>
      <c r="B11" t="s">
        <v>124</v>
      </c>
      <c r="C11">
        <f>COUNTIFS(Student_ICT!I:I,Summary!$B11,Student_ICT!$B:$B,Summary!$A11)</f>
        <v>13</v>
      </c>
      <c r="E11">
        <v>60</v>
      </c>
      <c r="F11" t="s">
        <v>41</v>
      </c>
      <c r="G11" t="s">
        <v>4230</v>
      </c>
      <c r="H11">
        <f>COUNTIFS(Student_ICT!$I:$I,Summary!$F11,Student_ICT!$B:$B,Summary!$E11,Student_ICT!$D:$D,Summary!$G11)</f>
        <v>0</v>
      </c>
    </row>
    <row r="12" spans="1:8">
      <c r="A12">
        <v>61</v>
      </c>
      <c r="B12" t="s">
        <v>53</v>
      </c>
      <c r="C12">
        <f>COUNTIFS(Student_ICT!I:I,Summary!$B12,Student_ICT!$B:$B,Summary!$A12)</f>
        <v>0</v>
      </c>
      <c r="E12">
        <v>60</v>
      </c>
      <c r="F12" t="s">
        <v>124</v>
      </c>
      <c r="G12" t="s">
        <v>4230</v>
      </c>
      <c r="H12">
        <f>COUNTIFS(Student_ICT!$I:$I,Summary!$F12,Student_ICT!$B:$B,Summary!$E12,Student_ICT!$D:$D,Summary!$G12)</f>
        <v>0</v>
      </c>
    </row>
    <row r="13" spans="1:8">
      <c r="A13">
        <v>61</v>
      </c>
      <c r="B13" t="s">
        <v>133</v>
      </c>
      <c r="C13">
        <f>COUNTIFS(Student_ICT!I:I,Summary!$B13,Student_ICT!$B:$B,Summary!$A13)</f>
        <v>7</v>
      </c>
      <c r="E13">
        <v>60</v>
      </c>
      <c r="F13" t="s">
        <v>53</v>
      </c>
      <c r="G13" t="s">
        <v>4230</v>
      </c>
      <c r="H13">
        <f>COUNTIFS(Student_ICT!$I:$I,Summary!$F13,Student_ICT!$B:$B,Summary!$E13,Student_ICT!$D:$D,Summary!$G13)</f>
        <v>0</v>
      </c>
    </row>
    <row r="14" spans="1:8">
      <c r="A14">
        <v>61</v>
      </c>
      <c r="B14" t="s">
        <v>64</v>
      </c>
      <c r="C14">
        <f>COUNTIFS(Student_ICT!I:I,Summary!$B14,Student_ICT!$B:$B,Summary!$A14)</f>
        <v>4</v>
      </c>
      <c r="E14">
        <v>60</v>
      </c>
      <c r="F14" t="s">
        <v>133</v>
      </c>
      <c r="G14" t="s">
        <v>4230</v>
      </c>
      <c r="H14">
        <f>COUNTIFS(Student_ICT!$I:$I,Summary!$F14,Student_ICT!$B:$B,Summary!$E14,Student_ICT!$D:$D,Summary!$G14)</f>
        <v>0</v>
      </c>
    </row>
    <row r="15" spans="1:8">
      <c r="A15">
        <v>62</v>
      </c>
      <c r="B15" t="s">
        <v>48</v>
      </c>
      <c r="C15">
        <f>COUNTIFS(Student_ICT!I:I,Summary!$B15,Student_ICT!$B:$B,Summary!$A15)</f>
        <v>41</v>
      </c>
      <c r="E15">
        <v>60</v>
      </c>
      <c r="F15" t="s">
        <v>64</v>
      </c>
      <c r="G15" t="s">
        <v>4230</v>
      </c>
      <c r="H15">
        <f>COUNTIFS(Student_ICT!$I:$I,Summary!$F15,Student_ICT!$B:$B,Summary!$E15,Student_ICT!$D:$D,Summary!$G15)</f>
        <v>0</v>
      </c>
    </row>
    <row r="16" spans="1:8">
      <c r="A16">
        <v>62</v>
      </c>
      <c r="B16" t="s">
        <v>41</v>
      </c>
      <c r="C16">
        <f>COUNTIFS(Student_ICT!I:I,Summary!$B16,Student_ICT!$B:$B,Summary!$A16)</f>
        <v>3</v>
      </c>
      <c r="E16">
        <v>60</v>
      </c>
      <c r="F16" t="s">
        <v>244</v>
      </c>
      <c r="G16" t="s">
        <v>4230</v>
      </c>
      <c r="H16">
        <f>COUNTIFS(Student_ICT!$I:$I,Summary!$F16,Student_ICT!$B:$B,Summary!$E16,Student_ICT!$D:$D,Summary!$G16)</f>
        <v>0</v>
      </c>
    </row>
    <row r="17" spans="1:8">
      <c r="A17">
        <v>62</v>
      </c>
      <c r="B17" t="s">
        <v>124</v>
      </c>
      <c r="C17">
        <f>COUNTIFS(Student_ICT!I:I,Summary!$B17,Student_ICT!$B:$B,Summary!$A17)</f>
        <v>19</v>
      </c>
      <c r="E17">
        <v>61</v>
      </c>
      <c r="F17" t="s">
        <v>48</v>
      </c>
      <c r="G17" t="s">
        <v>37</v>
      </c>
      <c r="H17">
        <f>COUNTIFS(Student_ICT!$I:$I,Summary!$F17,Student_ICT!$B:$B,Summary!$E17,Student_ICT!$D:$D,Summary!$G17)</f>
        <v>0</v>
      </c>
    </row>
    <row r="18" spans="1:8">
      <c r="A18">
        <v>62</v>
      </c>
      <c r="B18" t="s">
        <v>53</v>
      </c>
      <c r="C18">
        <f>COUNTIFS(Student_ICT!I:I,Summary!$B18,Student_ICT!$B:$B,Summary!$A18)</f>
        <v>20</v>
      </c>
      <c r="E18">
        <v>61</v>
      </c>
      <c r="F18" t="s">
        <v>41</v>
      </c>
      <c r="G18" t="s">
        <v>37</v>
      </c>
      <c r="H18">
        <f>COUNTIFS(Student_ICT!$I:$I,Summary!$F18,Student_ICT!$B:$B,Summary!$E18,Student_ICT!$D:$D,Summary!$G18)</f>
        <v>0</v>
      </c>
    </row>
    <row r="19" spans="1:8">
      <c r="A19">
        <v>62</v>
      </c>
      <c r="B19" t="s">
        <v>133</v>
      </c>
      <c r="C19">
        <f>COUNTIFS(Student_ICT!I:I,Summary!$B19,Student_ICT!$B:$B,Summary!$A19)</f>
        <v>4</v>
      </c>
      <c r="E19">
        <v>61</v>
      </c>
      <c r="F19" t="s">
        <v>124</v>
      </c>
      <c r="G19" t="s">
        <v>37</v>
      </c>
      <c r="H19">
        <f>COUNTIFS(Student_ICT!$I:$I,Summary!$F19,Student_ICT!$B:$B,Summary!$E19,Student_ICT!$D:$D,Summary!$G19)</f>
        <v>0</v>
      </c>
    </row>
    <row r="20" spans="1:8">
      <c r="A20">
        <v>62</v>
      </c>
      <c r="B20" t="s">
        <v>64</v>
      </c>
      <c r="C20">
        <f>COUNTIFS(Student_ICT!I:I,Summary!$B20,Student_ICT!$B:$B,Summary!$A20)</f>
        <v>8</v>
      </c>
      <c r="E20">
        <v>61</v>
      </c>
      <c r="F20" t="s">
        <v>53</v>
      </c>
      <c r="G20" t="s">
        <v>37</v>
      </c>
      <c r="H20">
        <f>COUNTIFS(Student_ICT!$I:$I,Summary!$F20,Student_ICT!$B:$B,Summary!$E20,Student_ICT!$D:$D,Summary!$G20)</f>
        <v>0</v>
      </c>
    </row>
    <row r="21" spans="1:8">
      <c r="A21">
        <v>63</v>
      </c>
      <c r="B21" t="s">
        <v>48</v>
      </c>
      <c r="C21">
        <f>COUNTIFS(Student_ICT!I:I,Summary!$B21,Student_ICT!$B:$B,Summary!$A21)</f>
        <v>26</v>
      </c>
      <c r="E21">
        <v>61</v>
      </c>
      <c r="F21" t="s">
        <v>133</v>
      </c>
      <c r="G21" t="s">
        <v>37</v>
      </c>
      <c r="H21">
        <f>COUNTIFS(Student_ICT!$I:$I,Summary!$F21,Student_ICT!$B:$B,Summary!$E21,Student_ICT!$D:$D,Summary!$G21)</f>
        <v>0</v>
      </c>
    </row>
    <row r="22" spans="1:8">
      <c r="A22">
        <v>63</v>
      </c>
      <c r="B22" t="s">
        <v>41</v>
      </c>
      <c r="C22">
        <f>COUNTIFS(Student_ICT!I:I,Summary!$B22,Student_ICT!$B:$B,Summary!$A22)</f>
        <v>0</v>
      </c>
      <c r="E22">
        <v>61</v>
      </c>
      <c r="F22" t="s">
        <v>64</v>
      </c>
      <c r="G22" t="s">
        <v>37</v>
      </c>
      <c r="H22">
        <f>COUNTIFS(Student_ICT!$I:$I,Summary!$F22,Student_ICT!$B:$B,Summary!$E22,Student_ICT!$D:$D,Summary!$G22)</f>
        <v>0</v>
      </c>
    </row>
    <row r="23" spans="1:8">
      <c r="A23">
        <v>63</v>
      </c>
      <c r="B23" t="s">
        <v>124</v>
      </c>
      <c r="C23">
        <f>COUNTIFS(Student_ICT!I:I,Summary!$B23,Student_ICT!$B:$B,Summary!$A23)</f>
        <v>26</v>
      </c>
      <c r="E23">
        <v>61</v>
      </c>
      <c r="F23" t="s">
        <v>244</v>
      </c>
      <c r="G23" t="s">
        <v>37</v>
      </c>
      <c r="H23">
        <f>COUNTIFS(Student_ICT!$I:$I,Summary!$F23,Student_ICT!$B:$B,Summary!$E23,Student_ICT!$D:$D,Summary!$G23)</f>
        <v>0</v>
      </c>
    </row>
    <row r="24" spans="1:8">
      <c r="A24">
        <v>63</v>
      </c>
      <c r="B24" t="s">
        <v>53</v>
      </c>
      <c r="C24">
        <f>COUNTIFS(Student_ICT!I:I,Summary!$B24,Student_ICT!$B:$B,Summary!$A24)</f>
        <v>15</v>
      </c>
      <c r="E24">
        <v>61</v>
      </c>
      <c r="F24" s="47" t="s">
        <v>4231</v>
      </c>
      <c r="G24" t="s">
        <v>37</v>
      </c>
      <c r="H24">
        <f>COUNTIFS(Student_ICT!$I:$I,Summary!$F24,Student_ICT!$B:$B,Summary!$E24,Student_ICT!$D:$D,Summary!$G24)</f>
        <v>0</v>
      </c>
    </row>
    <row r="25" spans="1:8">
      <c r="A25">
        <v>63</v>
      </c>
      <c r="B25" t="s">
        <v>133</v>
      </c>
      <c r="C25">
        <f>COUNTIFS(Student_ICT!I:I,Summary!$B25,Student_ICT!$B:$B,Summary!$A25)</f>
        <v>10</v>
      </c>
      <c r="E25">
        <v>61</v>
      </c>
      <c r="F25" s="47" t="s">
        <v>4231</v>
      </c>
      <c r="G25" t="s">
        <v>4230</v>
      </c>
      <c r="H25">
        <f>COUNTIFS(Student_ICT!$I:$I,Summary!$F25,Student_ICT!$B:$B,Summary!$E25,Student_ICT!$D:$D,Summary!$G25)</f>
        <v>0</v>
      </c>
    </row>
    <row r="26" spans="1:8">
      <c r="A26">
        <v>63</v>
      </c>
      <c r="B26" t="s">
        <v>64</v>
      </c>
      <c r="C26">
        <f>COUNTIFS(Student_ICT!I:I,Summary!$B26,Student_ICT!$B:$B,Summary!$A26)</f>
        <v>69</v>
      </c>
      <c r="E26">
        <v>61</v>
      </c>
      <c r="F26" t="s">
        <v>48</v>
      </c>
      <c r="G26" t="s">
        <v>4230</v>
      </c>
      <c r="H26">
        <f>COUNTIFS(Student_ICT!$I:$I,Summary!$F26,Student_ICT!$B:$B,Summary!$E26,Student_ICT!$D:$D,Summary!$G26)</f>
        <v>0</v>
      </c>
    </row>
    <row r="27" spans="1:8">
      <c r="A27">
        <v>64</v>
      </c>
      <c r="B27" t="s">
        <v>48</v>
      </c>
      <c r="C27">
        <f>COUNTIFS(Student_ICT!I:I,Summary!$B27,Student_ICT!$B:$B,Summary!$A27)</f>
        <v>5</v>
      </c>
      <c r="E27">
        <v>61</v>
      </c>
      <c r="F27" t="s">
        <v>41</v>
      </c>
      <c r="G27" t="s">
        <v>4230</v>
      </c>
      <c r="H27">
        <f>COUNTIFS(Student_ICT!$I:$I,Summary!$F27,Student_ICT!$B:$B,Summary!$E27,Student_ICT!$D:$D,Summary!$G27)</f>
        <v>0</v>
      </c>
    </row>
    <row r="28" spans="1:8">
      <c r="A28">
        <v>64</v>
      </c>
      <c r="B28" t="s">
        <v>41</v>
      </c>
      <c r="C28">
        <f>COUNTIFS(Student_ICT!I:I,Summary!$B28,Student_ICT!$B:$B,Summary!$A28)</f>
        <v>29</v>
      </c>
      <c r="E28">
        <v>61</v>
      </c>
      <c r="F28" t="s">
        <v>124</v>
      </c>
      <c r="G28" t="s">
        <v>4230</v>
      </c>
      <c r="H28">
        <f>COUNTIFS(Student_ICT!$I:$I,Summary!$F28,Student_ICT!$B:$B,Summary!$E28,Student_ICT!$D:$D,Summary!$G28)</f>
        <v>0</v>
      </c>
    </row>
    <row r="29" spans="1:8">
      <c r="A29">
        <v>64</v>
      </c>
      <c r="B29" t="s">
        <v>124</v>
      </c>
      <c r="C29">
        <f>COUNTIFS(Student_ICT!I:I,Summary!$B29,Student_ICT!$B:$B,Summary!$A29)</f>
        <v>20</v>
      </c>
      <c r="E29">
        <v>61</v>
      </c>
      <c r="F29" t="s">
        <v>53</v>
      </c>
      <c r="G29" t="s">
        <v>4230</v>
      </c>
      <c r="H29">
        <f>COUNTIFS(Student_ICT!$I:$I,Summary!$F29,Student_ICT!$B:$B,Summary!$E29,Student_ICT!$D:$D,Summary!$G29)</f>
        <v>0</v>
      </c>
    </row>
    <row r="30" spans="1:8">
      <c r="A30">
        <v>64</v>
      </c>
      <c r="B30" t="s">
        <v>53</v>
      </c>
      <c r="C30">
        <f>COUNTIFS(Student_ICT!I:I,Summary!$B30,Student_ICT!$B:$B,Summary!$A30)</f>
        <v>12</v>
      </c>
      <c r="E30">
        <v>61</v>
      </c>
      <c r="F30" t="s">
        <v>133</v>
      </c>
      <c r="G30" t="s">
        <v>4230</v>
      </c>
      <c r="H30">
        <f>COUNTIFS(Student_ICT!$I:$I,Summary!$F30,Student_ICT!$B:$B,Summary!$E30,Student_ICT!$D:$D,Summary!$G30)</f>
        <v>0</v>
      </c>
    </row>
    <row r="31" spans="1:8">
      <c r="A31">
        <v>64</v>
      </c>
      <c r="B31" t="s">
        <v>133</v>
      </c>
      <c r="C31">
        <f>COUNTIFS(Student_ICT!I:I,Summary!$B31,Student_ICT!$B:$B,Summary!$A31)</f>
        <v>6</v>
      </c>
      <c r="E31">
        <v>61</v>
      </c>
      <c r="F31" t="s">
        <v>64</v>
      </c>
      <c r="G31" t="s">
        <v>4230</v>
      </c>
      <c r="H31">
        <f>COUNTIFS(Student_ICT!$I:$I,Summary!$F31,Student_ICT!$B:$B,Summary!$E31,Student_ICT!$D:$D,Summary!$G31)</f>
        <v>0</v>
      </c>
    </row>
    <row r="32" spans="1:8">
      <c r="A32">
        <v>64</v>
      </c>
      <c r="B32" t="s">
        <v>64</v>
      </c>
      <c r="C32">
        <f>COUNTIFS(Student_ICT!I:I,Summary!$B32,Student_ICT!$B:$B,Summary!$A32)</f>
        <v>116</v>
      </c>
      <c r="E32">
        <v>61</v>
      </c>
      <c r="F32" t="s">
        <v>244</v>
      </c>
      <c r="G32" t="s">
        <v>4230</v>
      </c>
      <c r="H32">
        <f>COUNTIFS(Student_ICT!$I:$I,Summary!$F32,Student_ICT!$B:$B,Summary!$E32,Student_ICT!$D:$D,Summary!$G32)</f>
        <v>0</v>
      </c>
    </row>
    <row r="33" spans="5:8">
      <c r="E33">
        <v>62</v>
      </c>
      <c r="F33" t="s">
        <v>48</v>
      </c>
      <c r="G33" t="s">
        <v>37</v>
      </c>
      <c r="H33">
        <f>COUNTIFS(Student_ICT!$I:$I,Summary!$F33,Student_ICT!$B:$B,Summary!$E33,Student_ICT!$D:$D,Summary!$G33)</f>
        <v>0</v>
      </c>
    </row>
    <row r="34" spans="5:8">
      <c r="E34">
        <v>62</v>
      </c>
      <c r="F34" t="s">
        <v>41</v>
      </c>
      <c r="G34" t="s">
        <v>37</v>
      </c>
      <c r="H34">
        <f>COUNTIFS(Student_ICT!$I:$I,Summary!$F34,Student_ICT!$B:$B,Summary!$E34,Student_ICT!$D:$D,Summary!$G34)</f>
        <v>0</v>
      </c>
    </row>
    <row r="35" spans="5:8">
      <c r="E35">
        <v>62</v>
      </c>
      <c r="F35" t="s">
        <v>124</v>
      </c>
      <c r="G35" t="s">
        <v>37</v>
      </c>
      <c r="H35">
        <f>COUNTIFS(Student_ICT!$I:$I,Summary!$F35,Student_ICT!$B:$B,Summary!$E35,Student_ICT!$D:$D,Summary!$G35)</f>
        <v>0</v>
      </c>
    </row>
    <row r="36" spans="5:8">
      <c r="E36">
        <v>62</v>
      </c>
      <c r="F36" t="s">
        <v>53</v>
      </c>
      <c r="G36" t="s">
        <v>37</v>
      </c>
      <c r="H36">
        <f>COUNTIFS(Student_ICT!$I:$I,Summary!$F36,Student_ICT!$B:$B,Summary!$E36,Student_ICT!$D:$D,Summary!$G36)</f>
        <v>0</v>
      </c>
    </row>
    <row r="37" spans="5:8">
      <c r="E37">
        <v>62</v>
      </c>
      <c r="F37" t="s">
        <v>133</v>
      </c>
      <c r="G37" t="s">
        <v>37</v>
      </c>
      <c r="H37">
        <f>COUNTIFS(Student_ICT!$I:$I,Summary!$F37,Student_ICT!$B:$B,Summary!$E37,Student_ICT!$D:$D,Summary!$G37)</f>
        <v>0</v>
      </c>
    </row>
    <row r="38" spans="5:8">
      <c r="E38">
        <v>62</v>
      </c>
      <c r="F38" t="s">
        <v>64</v>
      </c>
      <c r="G38" t="s">
        <v>37</v>
      </c>
      <c r="H38">
        <f>COUNTIFS(Student_ICT!$I:$I,Summary!$F38,Student_ICT!$B:$B,Summary!$E38,Student_ICT!$D:$D,Summary!$G38)</f>
        <v>0</v>
      </c>
    </row>
    <row r="39" spans="5:8">
      <c r="E39">
        <v>62</v>
      </c>
      <c r="F39" t="s">
        <v>244</v>
      </c>
      <c r="G39" t="s">
        <v>37</v>
      </c>
      <c r="H39">
        <f>COUNTIFS(Student_ICT!$I:$I,Summary!$F39,Student_ICT!$B:$B,Summary!$E39,Student_ICT!$D:$D,Summary!$G39)</f>
        <v>0</v>
      </c>
    </row>
    <row r="40" spans="5:8">
      <c r="E40">
        <v>62</v>
      </c>
      <c r="F40" t="s">
        <v>48</v>
      </c>
      <c r="G40" t="s">
        <v>4230</v>
      </c>
      <c r="H40">
        <f>COUNTIFS(Student_ICT!$I:$I,Summary!$F40,Student_ICT!$B:$B,Summary!$E40,Student_ICT!$D:$D,Summary!$G40)</f>
        <v>0</v>
      </c>
    </row>
    <row r="41" spans="5:8">
      <c r="E41">
        <v>62</v>
      </c>
      <c r="F41" t="s">
        <v>41</v>
      </c>
      <c r="G41" t="s">
        <v>4230</v>
      </c>
      <c r="H41">
        <f>COUNTIFS(Student_ICT!$I:$I,Summary!$F41,Student_ICT!$B:$B,Summary!$E41,Student_ICT!$D:$D,Summary!$G41)</f>
        <v>0</v>
      </c>
    </row>
    <row r="42" spans="5:8">
      <c r="E42">
        <v>62</v>
      </c>
      <c r="F42" t="s">
        <v>124</v>
      </c>
      <c r="G42" t="s">
        <v>4230</v>
      </c>
      <c r="H42">
        <f>COUNTIFS(Student_ICT!$I:$I,Summary!$F42,Student_ICT!$B:$B,Summary!$E42,Student_ICT!$D:$D,Summary!$G42)</f>
        <v>0</v>
      </c>
    </row>
    <row r="43" spans="5:8">
      <c r="E43">
        <v>62</v>
      </c>
      <c r="F43" t="s">
        <v>53</v>
      </c>
      <c r="G43" t="s">
        <v>4230</v>
      </c>
      <c r="H43">
        <f>COUNTIFS(Student_ICT!$I:$I,Summary!$F43,Student_ICT!$B:$B,Summary!$E43,Student_ICT!$D:$D,Summary!$G43)</f>
        <v>0</v>
      </c>
    </row>
    <row r="44" spans="5:8">
      <c r="E44">
        <v>62</v>
      </c>
      <c r="F44" t="s">
        <v>133</v>
      </c>
      <c r="G44" t="s">
        <v>4230</v>
      </c>
      <c r="H44">
        <f>COUNTIFS(Student_ICT!$I:$I,Summary!$F44,Student_ICT!$B:$B,Summary!$E44,Student_ICT!$D:$D,Summary!$G44)</f>
        <v>0</v>
      </c>
    </row>
    <row r="45" spans="5:8">
      <c r="E45">
        <v>62</v>
      </c>
      <c r="F45" t="s">
        <v>64</v>
      </c>
      <c r="G45" t="s">
        <v>4230</v>
      </c>
      <c r="H45">
        <f>COUNTIFS(Student_ICT!$I:$I,Summary!$F45,Student_ICT!$B:$B,Summary!$E45,Student_ICT!$D:$D,Summary!$G45)</f>
        <v>0</v>
      </c>
    </row>
    <row r="46" spans="5:8">
      <c r="E46">
        <v>62</v>
      </c>
      <c r="F46" t="s">
        <v>244</v>
      </c>
      <c r="G46" t="s">
        <v>4230</v>
      </c>
      <c r="H46">
        <f>COUNTIFS(Student_ICT!$I:$I,Summary!$F46,Student_ICT!$B:$B,Summary!$E46,Student_ICT!$D:$D,Summary!$G46)</f>
        <v>0</v>
      </c>
    </row>
    <row r="47" spans="5:8">
      <c r="E47">
        <v>63</v>
      </c>
      <c r="F47" t="s">
        <v>48</v>
      </c>
      <c r="G47" t="s">
        <v>37</v>
      </c>
      <c r="H47">
        <f>COUNTIFS(Student_ICT!$I:$I,Summary!$F47,Student_ICT!$B:$B,Summary!$E47,Student_ICT!$D:$D,Summary!$G47)</f>
        <v>0</v>
      </c>
    </row>
    <row r="48" spans="5:8">
      <c r="E48">
        <v>63</v>
      </c>
      <c r="F48" t="s">
        <v>41</v>
      </c>
      <c r="G48" t="s">
        <v>37</v>
      </c>
      <c r="H48">
        <f>COUNTIFS(Student_ICT!$I:$I,Summary!$F48,Student_ICT!$B:$B,Summary!$E48,Student_ICT!$D:$D,Summary!$G48)</f>
        <v>0</v>
      </c>
    </row>
    <row r="49" spans="5:8">
      <c r="E49">
        <v>63</v>
      </c>
      <c r="F49" t="s">
        <v>124</v>
      </c>
      <c r="G49" t="s">
        <v>37</v>
      </c>
      <c r="H49">
        <f>COUNTIFS(Student_ICT!$I:$I,Summary!$F49,Student_ICT!$B:$B,Summary!$E49,Student_ICT!$D:$D,Summary!$G49)</f>
        <v>0</v>
      </c>
    </row>
    <row r="50" spans="5:8">
      <c r="E50">
        <v>63</v>
      </c>
      <c r="F50" t="s">
        <v>53</v>
      </c>
      <c r="G50" t="s">
        <v>37</v>
      </c>
      <c r="H50">
        <f>COUNTIFS(Student_ICT!$I:$I,Summary!$F50,Student_ICT!$B:$B,Summary!$E50,Student_ICT!$D:$D,Summary!$G50)</f>
        <v>0</v>
      </c>
    </row>
    <row r="51" spans="5:8">
      <c r="E51">
        <v>63</v>
      </c>
      <c r="F51" t="s">
        <v>133</v>
      </c>
      <c r="G51" t="s">
        <v>37</v>
      </c>
      <c r="H51">
        <f>COUNTIFS(Student_ICT!$I:$I,Summary!$F51,Student_ICT!$B:$B,Summary!$E51,Student_ICT!$D:$D,Summary!$G51)</f>
        <v>0</v>
      </c>
    </row>
    <row r="52" spans="5:8">
      <c r="E52">
        <v>63</v>
      </c>
      <c r="F52" t="s">
        <v>64</v>
      </c>
      <c r="G52" t="s">
        <v>37</v>
      </c>
      <c r="H52">
        <f>COUNTIFS(Student_ICT!$I:$I,Summary!$F52,Student_ICT!$B:$B,Summary!$E52,Student_ICT!$D:$D,Summary!$G52)</f>
        <v>0</v>
      </c>
    </row>
    <row r="53" spans="5:8">
      <c r="E53">
        <v>63</v>
      </c>
      <c r="F53" t="s">
        <v>244</v>
      </c>
      <c r="G53" t="s">
        <v>37</v>
      </c>
      <c r="H53">
        <f>COUNTIFS(Student_ICT!$I:$I,Summary!$F53,Student_ICT!$B:$B,Summary!$E53,Student_ICT!$D:$D,Summary!$G53)</f>
        <v>0</v>
      </c>
    </row>
    <row r="54" spans="5:8">
      <c r="E54">
        <v>63</v>
      </c>
      <c r="F54" t="s">
        <v>48</v>
      </c>
      <c r="G54" t="s">
        <v>4230</v>
      </c>
      <c r="H54">
        <f>COUNTIFS(Student_ICT!$I:$I,Summary!$F54,Student_ICT!$B:$B,Summary!$E54,Student_ICT!$D:$D,Summary!$G54)</f>
        <v>0</v>
      </c>
    </row>
    <row r="55" spans="5:8">
      <c r="E55">
        <v>63</v>
      </c>
      <c r="F55" t="s">
        <v>41</v>
      </c>
      <c r="G55" t="s">
        <v>4230</v>
      </c>
      <c r="H55">
        <f>COUNTIFS(Student_ICT!$I:$I,Summary!$F55,Student_ICT!$B:$B,Summary!$E55,Student_ICT!$D:$D,Summary!$G55)</f>
        <v>0</v>
      </c>
    </row>
    <row r="56" spans="5:8">
      <c r="E56">
        <v>63</v>
      </c>
      <c r="F56" t="s">
        <v>124</v>
      </c>
      <c r="G56" t="s">
        <v>4230</v>
      </c>
      <c r="H56">
        <f>COUNTIFS(Student_ICT!$I:$I,Summary!$F56,Student_ICT!$B:$B,Summary!$E56,Student_ICT!$D:$D,Summary!$G56)</f>
        <v>0</v>
      </c>
    </row>
    <row r="57" spans="5:8">
      <c r="E57">
        <v>63</v>
      </c>
      <c r="F57" t="s">
        <v>53</v>
      </c>
      <c r="G57" t="s">
        <v>4230</v>
      </c>
      <c r="H57">
        <f>COUNTIFS(Student_ICT!$I:$I,Summary!$F57,Student_ICT!$B:$B,Summary!$E57,Student_ICT!$D:$D,Summary!$G57)</f>
        <v>0</v>
      </c>
    </row>
    <row r="58" spans="5:8">
      <c r="E58">
        <v>63</v>
      </c>
      <c r="F58" t="s">
        <v>133</v>
      </c>
      <c r="G58" t="s">
        <v>4230</v>
      </c>
      <c r="H58">
        <f>COUNTIFS(Student_ICT!$I:$I,Summary!$F58,Student_ICT!$B:$B,Summary!$E58,Student_ICT!$D:$D,Summary!$G58)</f>
        <v>0</v>
      </c>
    </row>
    <row r="59" spans="5:8">
      <c r="E59">
        <v>63</v>
      </c>
      <c r="F59" t="s">
        <v>64</v>
      </c>
      <c r="G59" t="s">
        <v>4230</v>
      </c>
      <c r="H59">
        <f>COUNTIFS(Student_ICT!$I:$I,Summary!$F59,Student_ICT!$B:$B,Summary!$E59,Student_ICT!$D:$D,Summary!$G59)</f>
        <v>0</v>
      </c>
    </row>
    <row r="60" spans="5:8">
      <c r="E60">
        <v>63</v>
      </c>
      <c r="F60" t="s">
        <v>244</v>
      </c>
      <c r="G60" t="s">
        <v>4230</v>
      </c>
      <c r="H60">
        <f>COUNTIFS(Student_ICT!$I:$I,Summary!$F60,Student_ICT!$B:$B,Summary!$E60,Student_ICT!$D:$D,Summary!$G60)</f>
        <v>0</v>
      </c>
    </row>
    <row r="61" spans="5:8">
      <c r="E61">
        <v>64</v>
      </c>
      <c r="F61" t="s">
        <v>48</v>
      </c>
      <c r="G61" t="s">
        <v>37</v>
      </c>
      <c r="H61">
        <f>COUNTIFS(Student_ICT!$I:$I,Summary!$F61,Student_ICT!$B:$B,Summary!$E61,Student_ICT!$D:$D,Summary!$G61)</f>
        <v>0</v>
      </c>
    </row>
    <row r="62" spans="5:8">
      <c r="E62">
        <v>64</v>
      </c>
      <c r="F62" t="s">
        <v>41</v>
      </c>
      <c r="G62" t="s">
        <v>37</v>
      </c>
      <c r="H62">
        <f>COUNTIFS(Student_ICT!$I:$I,Summary!$F62,Student_ICT!$B:$B,Summary!$E62,Student_ICT!$D:$D,Summary!$G62)</f>
        <v>0</v>
      </c>
    </row>
    <row r="63" spans="5:8">
      <c r="E63">
        <v>64</v>
      </c>
      <c r="F63" t="s">
        <v>124</v>
      </c>
      <c r="G63" t="s">
        <v>37</v>
      </c>
      <c r="H63">
        <f>COUNTIFS(Student_ICT!$I:$I,Summary!$F63,Student_ICT!$B:$B,Summary!$E63,Student_ICT!$D:$D,Summary!$G63)</f>
        <v>0</v>
      </c>
    </row>
    <row r="64" spans="5:8">
      <c r="E64">
        <v>64</v>
      </c>
      <c r="F64" t="s">
        <v>53</v>
      </c>
      <c r="G64" t="s">
        <v>37</v>
      </c>
      <c r="H64">
        <f>COUNTIFS(Student_ICT!$I:$I,Summary!$F64,Student_ICT!$B:$B,Summary!$E64,Student_ICT!$D:$D,Summary!$G64)</f>
        <v>0</v>
      </c>
    </row>
    <row r="65" spans="5:8">
      <c r="E65">
        <v>64</v>
      </c>
      <c r="F65" t="s">
        <v>133</v>
      </c>
      <c r="G65" t="s">
        <v>37</v>
      </c>
      <c r="H65">
        <f>COUNTIFS(Student_ICT!$I:$I,Summary!$F65,Student_ICT!$B:$B,Summary!$E65,Student_ICT!$D:$D,Summary!$G65)</f>
        <v>0</v>
      </c>
    </row>
    <row r="66" spans="5:8">
      <c r="E66">
        <v>64</v>
      </c>
      <c r="F66" t="s">
        <v>64</v>
      </c>
      <c r="G66" t="s">
        <v>37</v>
      </c>
      <c r="H66">
        <f>COUNTIFS(Student_ICT!$I:$I,Summary!$F66,Student_ICT!$B:$B,Summary!$E66,Student_ICT!$D:$D,Summary!$G66)</f>
        <v>0</v>
      </c>
    </row>
    <row r="67" spans="5:8">
      <c r="E67">
        <v>64</v>
      </c>
      <c r="F67" t="s">
        <v>244</v>
      </c>
      <c r="G67" t="s">
        <v>37</v>
      </c>
      <c r="H67">
        <f>COUNTIFS(Student_ICT!$I:$I,Summary!$F67,Student_ICT!$B:$B,Summary!$E67,Student_ICT!$D:$D,Summary!$G67)</f>
        <v>0</v>
      </c>
    </row>
    <row r="68" spans="5:8">
      <c r="E68">
        <v>64</v>
      </c>
      <c r="F68" t="s">
        <v>48</v>
      </c>
      <c r="G68" t="s">
        <v>4230</v>
      </c>
      <c r="H68">
        <f>COUNTIFS(Student_ICT!$I:$I,Summary!$F68,Student_ICT!$B:$B,Summary!$E68,Student_ICT!$D:$D,Summary!$G68)</f>
        <v>0</v>
      </c>
    </row>
    <row r="69" spans="5:8">
      <c r="E69">
        <v>64</v>
      </c>
      <c r="F69" t="s">
        <v>41</v>
      </c>
      <c r="G69" t="s">
        <v>4230</v>
      </c>
      <c r="H69">
        <f>COUNTIFS(Student_ICT!$I:$I,Summary!$F69,Student_ICT!$B:$B,Summary!$E69,Student_ICT!$D:$D,Summary!$G69)</f>
        <v>0</v>
      </c>
    </row>
    <row r="70" spans="5:8">
      <c r="E70">
        <v>64</v>
      </c>
      <c r="F70" t="s">
        <v>124</v>
      </c>
      <c r="G70" t="s">
        <v>4230</v>
      </c>
      <c r="H70">
        <f>COUNTIFS(Student_ICT!$I:$I,Summary!$F70,Student_ICT!$B:$B,Summary!$E70,Student_ICT!$D:$D,Summary!$G70)</f>
        <v>0</v>
      </c>
    </row>
    <row r="71" spans="5:8">
      <c r="E71">
        <v>64</v>
      </c>
      <c r="F71" t="s">
        <v>53</v>
      </c>
      <c r="G71" t="s">
        <v>4230</v>
      </c>
      <c r="H71">
        <f>COUNTIFS(Student_ICT!$I:$I,Summary!$F71,Student_ICT!$B:$B,Summary!$E71,Student_ICT!$D:$D,Summary!$G71)</f>
        <v>0</v>
      </c>
    </row>
    <row r="72" spans="5:8">
      <c r="E72">
        <v>64</v>
      </c>
      <c r="F72" t="s">
        <v>133</v>
      </c>
      <c r="G72" t="s">
        <v>4230</v>
      </c>
      <c r="H72">
        <f>COUNTIFS(Student_ICT!$I:$I,Summary!$F72,Student_ICT!$B:$B,Summary!$E72,Student_ICT!$D:$D,Summary!$G72)</f>
        <v>0</v>
      </c>
    </row>
    <row r="73" spans="5:8">
      <c r="E73">
        <v>64</v>
      </c>
      <c r="F73" t="s">
        <v>64</v>
      </c>
      <c r="G73" t="s">
        <v>4230</v>
      </c>
      <c r="H73">
        <f>COUNTIFS(Student_ICT!$I:$I,Summary!$F73,Student_ICT!$B:$B,Summary!$E73,Student_ICT!$D:$D,Summary!$G73)</f>
        <v>0</v>
      </c>
    </row>
    <row r="74" spans="5:8">
      <c r="E74">
        <v>64</v>
      </c>
      <c r="F74" t="s">
        <v>244</v>
      </c>
      <c r="G74" t="s">
        <v>4230</v>
      </c>
      <c r="H74">
        <f>COUNTIFS(Student_ICT!$I:$I,Summary!$F74,Student_ICT!$B:$B,Summary!$E74,Student_ICT!$D:$D,Summary!$G74)</f>
        <v>0</v>
      </c>
    </row>
    <row r="75" spans="5:8">
      <c r="E75">
        <v>60</v>
      </c>
      <c r="F75" t="s">
        <v>102</v>
      </c>
      <c r="G75" t="s">
        <v>37</v>
      </c>
      <c r="H75">
        <f>COUNTIFS(Student_ICT!$I:$I,Summary!$F75,Student_ICT!$B:$B,Summary!$E75,Student_ICT!$D:$D,Summary!$G75)</f>
        <v>0</v>
      </c>
    </row>
    <row r="76" spans="5:8">
      <c r="E76">
        <v>61</v>
      </c>
      <c r="F76" t="s">
        <v>102</v>
      </c>
      <c r="G76" t="s">
        <v>37</v>
      </c>
      <c r="H76">
        <f>COUNTIFS(Student_ICT!$I:$I,Summary!$F76,Student_ICT!$B:$B,Summary!$E76,Student_ICT!$D:$D,Summary!$G76)</f>
        <v>0</v>
      </c>
    </row>
    <row r="77" spans="5:8">
      <c r="E77">
        <v>62</v>
      </c>
      <c r="F77" t="s">
        <v>102</v>
      </c>
      <c r="G77" t="s">
        <v>37</v>
      </c>
      <c r="H77">
        <f>COUNTIFS(Student_ICT!$I:$I,Summary!$F77,Student_ICT!$B:$B,Summary!$E77,Student_ICT!$D:$D,Summary!$G77)</f>
        <v>0</v>
      </c>
    </row>
    <row r="78" spans="5:8">
      <c r="E78">
        <v>63</v>
      </c>
      <c r="F78" t="s">
        <v>102</v>
      </c>
      <c r="G78" t="s">
        <v>37</v>
      </c>
      <c r="H78">
        <f>COUNTIFS(Student_ICT!$I:$I,Summary!$F78,Student_ICT!$B:$B,Summary!$E78,Student_ICT!$D:$D,Summary!$G78)</f>
        <v>0</v>
      </c>
    </row>
    <row r="79" spans="5:8">
      <c r="E79">
        <v>64</v>
      </c>
      <c r="F79" t="s">
        <v>102</v>
      </c>
      <c r="G79" t="s">
        <v>37</v>
      </c>
      <c r="H79">
        <f>COUNTIFS(Student_ICT!$I:$I,Summary!$F79,Student_ICT!$B:$B,Summary!$E79,Student_ICT!$D:$D,Summary!$G79)</f>
        <v>0</v>
      </c>
    </row>
    <row r="80" spans="5:8">
      <c r="E80">
        <v>60</v>
      </c>
      <c r="F80" t="s">
        <v>102</v>
      </c>
      <c r="G80" t="s">
        <v>4230</v>
      </c>
      <c r="H80">
        <f>COUNTIFS(Student_ICT!$I:$I,Summary!$F80,Student_ICT!$B:$B,Summary!$E80,Student_ICT!$D:$D,Summary!$G80)</f>
        <v>0</v>
      </c>
    </row>
    <row r="81" spans="5:8">
      <c r="E81">
        <v>61</v>
      </c>
      <c r="F81" t="s">
        <v>102</v>
      </c>
      <c r="G81" t="s">
        <v>4230</v>
      </c>
      <c r="H81">
        <f>COUNTIFS(Student_ICT!$I:$I,Summary!$F81,Student_ICT!$B:$B,Summary!$E81,Student_ICT!$D:$D,Summary!$G81)</f>
        <v>0</v>
      </c>
    </row>
    <row r="82" spans="5:8">
      <c r="E82">
        <v>62</v>
      </c>
      <c r="F82" t="s">
        <v>102</v>
      </c>
      <c r="G82" t="s">
        <v>4230</v>
      </c>
      <c r="H82">
        <f>COUNTIFS(Student_ICT!$I:$I,Summary!$F82,Student_ICT!$B:$B,Summary!$E82,Student_ICT!$D:$D,Summary!$G82)</f>
        <v>0</v>
      </c>
    </row>
    <row r="83" spans="5:8">
      <c r="E83">
        <v>63</v>
      </c>
      <c r="F83" t="s">
        <v>102</v>
      </c>
      <c r="G83" t="s">
        <v>4230</v>
      </c>
      <c r="H83">
        <f>COUNTIFS(Student_ICT!$I:$I,Summary!$F83,Student_ICT!$B:$B,Summary!$E83,Student_ICT!$D:$D,Summary!$G83)</f>
        <v>0</v>
      </c>
    </row>
    <row r="84" spans="5:8">
      <c r="E84">
        <v>64</v>
      </c>
      <c r="F84" t="s">
        <v>102</v>
      </c>
      <c r="G84" t="s">
        <v>4230</v>
      </c>
      <c r="H84">
        <f>COUNTIFS(Student_ICT!$I:$I,Summary!$F84,Student_ICT!$B:$B,Summary!$E84,Student_ICT!$D:$D,Summary!$G84)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892B-D7D9-4E82-8DCF-CC4D8BB5F80D}">
  <dimension ref="A1:A3"/>
  <sheetViews>
    <sheetView workbookViewId="0"/>
  </sheetViews>
  <sheetFormatPr defaultColWidth="8.85546875" defaultRowHeight="15"/>
  <cols>
    <col min="1" max="1" width="10.85546875" bestFit="1" customWidth="1"/>
  </cols>
  <sheetData>
    <row r="1" spans="1:1">
      <c r="A1" t="s">
        <v>11</v>
      </c>
    </row>
    <row r="2" spans="1:1">
      <c r="A2" t="s">
        <v>37</v>
      </c>
    </row>
    <row r="3" spans="1:1" hidden="1">
      <c r="A3" t="s">
        <v>4230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dc8df-c459-4dc1-b352-7d87a512e46f">
      <Terms xmlns="http://schemas.microsoft.com/office/infopath/2007/PartnerControls"/>
    </lcf76f155ced4ddcb4097134ff3c332f>
    <TaxCatchAll xmlns="0265cb1a-fd11-4254-a415-f0bef37eec2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A513C42DBE151043B16BA7F63003A1CE" ma:contentTypeVersion="17" ma:contentTypeDescription="สร้างเอกสารใหม่" ma:contentTypeScope="" ma:versionID="2986165e2b283d8e8be1c5749f534039">
  <xsd:schema xmlns:xsd="http://www.w3.org/2001/XMLSchema" xmlns:xs="http://www.w3.org/2001/XMLSchema" xmlns:p="http://schemas.microsoft.com/office/2006/metadata/properties" xmlns:ns2="d3adc8df-c459-4dc1-b352-7d87a512e46f" xmlns:ns3="0265cb1a-fd11-4254-a415-f0bef37eec26" targetNamespace="http://schemas.microsoft.com/office/2006/metadata/properties" ma:root="true" ma:fieldsID="7cd9678f3343bb286c8860fc9bde4ef9" ns2:_="" ns3:_="">
    <xsd:import namespace="d3adc8df-c459-4dc1-b352-7d87a512e46f"/>
    <xsd:import namespace="0265cb1a-fd11-4254-a415-f0bef37eec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dc8df-c459-4dc1-b352-7d87a512e4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แท็กรูป" ma:readOnly="false" ma:fieldId="{5cf76f15-5ced-4ddc-b409-7134ff3c332f}" ma:taxonomyMulti="true" ma:sspId="f5bb4d80-07e5-4615-ab0a-903bd76b56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5cb1a-fd11-4254-a415-f0bef37eec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f34dc34-d96b-424d-a655-c61292a23fc1}" ma:internalName="TaxCatchAll" ma:showField="CatchAllData" ma:web="0265cb1a-fd11-4254-a415-f0bef37eec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518C38-7622-4463-964A-A5EAA0F070F8}"/>
</file>

<file path=customXml/itemProps2.xml><?xml version="1.0" encoding="utf-8"?>
<ds:datastoreItem xmlns:ds="http://schemas.openxmlformats.org/officeDocument/2006/customXml" ds:itemID="{B776D57C-A21F-459B-A407-F452EDACE9F4}"/>
</file>

<file path=customXml/itemProps3.xml><?xml version="1.0" encoding="utf-8"?>
<ds:datastoreItem xmlns:ds="http://schemas.openxmlformats.org/officeDocument/2006/customXml" ds:itemID="{14C4BA4F-0E9D-4047-9C78-63DF23B659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2021-07-12T03:41:06Z</dcterms:created>
  <dcterms:modified xsi:type="dcterms:W3CDTF">2026-01-16T02:34:55Z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0x010100A513C42DBE151043B16BA7F63003A1CE</vt:lpwstr>
  </property>
  <property fmtid="{D5CDD505-2E9C-101B-9397-08002B2CF9AE}" pid="3" name="MediaServiceImageTags">
    <vt:lpwstr/>
  </property>
</Properties>
</file>